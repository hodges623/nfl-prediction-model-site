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nfl-model-site\data\"/>
    </mc:Choice>
  </mc:AlternateContent>
  <xr:revisionPtr revIDLastSave="0" documentId="13_ncr:1_{DE68968F-C740-4DBB-9DED-5F88FBD0AB5E}" xr6:coauthVersionLast="47" xr6:coauthVersionMax="47" xr10:uidLastSave="{00000000-0000-0000-0000-000000000000}"/>
  <bookViews>
    <workbookView xWindow="-110" yWindow="-110" windowWidth="38620" windowHeight="21100" xr2:uid="{06398C23-6020-46EF-818D-D7112072F585}"/>
  </bookViews>
  <sheets>
    <sheet name="Sheet1" sheetId="1" r:id="rId1"/>
  </sheets>
  <externalReferences>
    <externalReference r:id="rId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82" i="1" l="1" a="1"/>
  <c r="H82" i="1" a="1"/>
  <c r="I82" i="1" a="1"/>
  <c r="J82" i="1" a="1"/>
  <c r="K82" i="1" a="1"/>
  <c r="L82" i="1" a="1"/>
  <c r="G83" i="1" a="1"/>
  <c r="H83" i="1" a="1"/>
  <c r="I83" i="1" a="1"/>
  <c r="J83" i="1" a="1"/>
  <c r="K83" i="1" a="1"/>
  <c r="L83" i="1" a="1"/>
  <c r="G84" i="1" a="1"/>
  <c r="H84" i="1" a="1"/>
  <c r="I84" i="1" a="1"/>
  <c r="J84" i="1" a="1"/>
  <c r="K84" i="1" a="1"/>
  <c r="L84" i="1" a="1"/>
  <c r="G85" i="1" a="1"/>
  <c r="H85" i="1" a="1"/>
  <c r="I85" i="1" a="1"/>
  <c r="J85" i="1" a="1"/>
  <c r="K85" i="1" a="1"/>
  <c r="L85" i="1" a="1"/>
  <c r="G86" i="1" a="1"/>
  <c r="H86" i="1" a="1"/>
  <c r="I86" i="1" a="1"/>
  <c r="J86" i="1" a="1"/>
  <c r="K86" i="1" a="1"/>
  <c r="L86" i="1" a="1"/>
  <c r="G87" i="1" a="1"/>
  <c r="H87" i="1" a="1"/>
  <c r="I87" i="1" a="1"/>
  <c r="J87" i="1" a="1"/>
  <c r="K87" i="1" a="1"/>
  <c r="L87" i="1" a="1"/>
  <c r="G88" i="1" a="1"/>
  <c r="H88" i="1" a="1"/>
  <c r="I88" i="1" a="1"/>
  <c r="J88" i="1" a="1"/>
  <c r="K88" i="1" a="1"/>
  <c r="L88" i="1" a="1"/>
  <c r="G89" i="1" a="1"/>
  <c r="H89" i="1" a="1"/>
  <c r="I89" i="1" a="1"/>
  <c r="J89" i="1" a="1"/>
  <c r="K89" i="1" a="1"/>
  <c r="L89" i="1" a="1"/>
  <c r="G90" i="1" a="1"/>
  <c r="H90" i="1" a="1"/>
  <c r="I90" i="1" a="1"/>
  <c r="J90" i="1" a="1"/>
  <c r="K90" i="1" a="1"/>
  <c r="L90" i="1" a="1"/>
  <c r="G91" i="1" a="1"/>
  <c r="H91" i="1" a="1"/>
  <c r="I91" i="1" a="1"/>
  <c r="J91" i="1" a="1"/>
  <c r="K91" i="1" a="1"/>
  <c r="L91" i="1" a="1"/>
  <c r="G92" i="1" a="1"/>
  <c r="H92" i="1" a="1"/>
  <c r="I92" i="1" a="1"/>
  <c r="J92" i="1" a="1"/>
  <c r="K92" i="1" a="1"/>
  <c r="L92" i="1" a="1"/>
  <c r="G93" i="1" a="1"/>
  <c r="H93" i="1" a="1"/>
  <c r="I93" i="1" a="1"/>
  <c r="J93" i="1" a="1"/>
  <c r="K93" i="1" a="1"/>
  <c r="L93" i="1" a="1"/>
  <c r="G94" i="1" a="1"/>
  <c r="H94" i="1" a="1"/>
  <c r="I94" i="1" a="1"/>
  <c r="J94" i="1" a="1"/>
  <c r="K94" i="1" a="1"/>
  <c r="L94" i="1" a="1"/>
  <c r="C95" i="1"/>
  <c r="C82" i="1"/>
  <c r="C83" i="1"/>
  <c r="C84" i="1"/>
  <c r="C85" i="1"/>
  <c r="C86" i="1"/>
  <c r="C87" i="1"/>
  <c r="C88" i="1"/>
  <c r="C89" i="1"/>
  <c r="A90" i="1"/>
  <c r="C90" i="1"/>
  <c r="C91" i="1"/>
  <c r="C92" i="1"/>
  <c r="C93" i="1"/>
  <c r="C94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67" i="1"/>
  <c r="C52" i="1"/>
  <c r="C53" i="1"/>
  <c r="C54" i="1"/>
  <c r="C55" i="1"/>
  <c r="A56" i="1"/>
  <c r="C56" i="1"/>
  <c r="C57" i="1"/>
  <c r="C58" i="1"/>
  <c r="C59" i="1"/>
  <c r="C60" i="1"/>
  <c r="A61" i="1"/>
  <c r="C61" i="1"/>
  <c r="C62" i="1"/>
  <c r="C63" i="1"/>
  <c r="C64" i="1"/>
  <c r="C65" i="1"/>
  <c r="C66" i="1"/>
  <c r="C51" i="1"/>
  <c r="C36" i="1"/>
  <c r="C37" i="1"/>
  <c r="A38" i="1"/>
  <c r="C38" i="1"/>
  <c r="C39" i="1"/>
  <c r="A40" i="1"/>
  <c r="C40" i="1"/>
  <c r="C41" i="1"/>
  <c r="C42" i="1"/>
  <c r="C43" i="1"/>
  <c r="C44" i="1"/>
  <c r="C45" i="1"/>
  <c r="C46" i="1"/>
  <c r="C47" i="1"/>
  <c r="C48" i="1"/>
  <c r="C49" i="1"/>
  <c r="C50" i="1"/>
  <c r="C35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L3" i="1" a="1"/>
  <c r="K3" i="1" a="1"/>
  <c r="J3" i="1" a="1"/>
  <c r="I3" i="1" a="1"/>
  <c r="H3" i="1" a="1"/>
  <c r="G3" i="1" a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B3" i="1" s="1"/>
  <c r="M82" i="1" l="1" a="1"/>
  <c r="N82" i="1" a="1"/>
  <c r="O82" i="1"/>
  <c r="P82" i="1"/>
  <c r="M83" i="1" a="1"/>
  <c r="N83" i="1" a="1"/>
  <c r="P83" i="1"/>
  <c r="O83" i="1"/>
  <c r="M84" i="1" a="1"/>
  <c r="N84" i="1" a="1"/>
  <c r="P84" i="1"/>
  <c r="O84" i="1"/>
  <c r="M85" i="1" a="1"/>
  <c r="Q85" i="1" s="1"/>
  <c r="N85" i="1" a="1"/>
  <c r="O85" i="1"/>
  <c r="P85" i="1"/>
  <c r="M86" i="1" a="1"/>
  <c r="N86" i="1" a="1"/>
  <c r="P86" i="1"/>
  <c r="O86" i="1"/>
  <c r="N87" i="1" a="1"/>
  <c r="M87" i="1" a="1"/>
  <c r="Q87" i="1" s="1"/>
  <c r="P87" i="1"/>
  <c r="O87" i="1"/>
  <c r="M88" i="1" a="1"/>
  <c r="N88" i="1" a="1"/>
  <c r="O88" i="1"/>
  <c r="P88" i="1"/>
  <c r="M89" i="1" a="1"/>
  <c r="N89" i="1" a="1"/>
  <c r="P89" i="1"/>
  <c r="O89" i="1"/>
  <c r="M90" i="1" a="1"/>
  <c r="N90" i="1" a="1"/>
  <c r="O90" i="1"/>
  <c r="P90" i="1"/>
  <c r="M91" i="1" a="1"/>
  <c r="N91" i="1" a="1"/>
  <c r="O91" i="1"/>
  <c r="P91" i="1"/>
  <c r="M92" i="1" a="1"/>
  <c r="N92" i="1" a="1"/>
  <c r="O92" i="1"/>
  <c r="P92" i="1"/>
  <c r="M93" i="1" a="1"/>
  <c r="N93" i="1" a="1"/>
  <c r="P93" i="1"/>
  <c r="O93" i="1"/>
  <c r="M94" i="1" a="1"/>
  <c r="N94" i="1" a="1"/>
  <c r="O94" i="1"/>
  <c r="P94" i="1"/>
  <c r="G95" i="1" a="1"/>
  <c r="H95" i="1" a="1"/>
  <c r="I95" i="1" a="1"/>
  <c r="J95" i="1" a="1"/>
  <c r="K95" i="1" a="1"/>
  <c r="L95" i="1" a="1"/>
  <c r="A95" i="1"/>
  <c r="B95" i="1"/>
  <c r="A82" i="1"/>
  <c r="B82" i="1"/>
  <c r="A83" i="1"/>
  <c r="B83" i="1"/>
  <c r="A84" i="1"/>
  <c r="B84" i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A85" i="1"/>
  <c r="A86" i="1"/>
  <c r="A87" i="1"/>
  <c r="A88" i="1"/>
  <c r="A89" i="1"/>
  <c r="A91" i="1"/>
  <c r="A92" i="1"/>
  <c r="A93" i="1"/>
  <c r="A94" i="1"/>
  <c r="N3" i="1" a="1"/>
  <c r="O3" i="1"/>
  <c r="P3" i="1"/>
  <c r="M3" i="1" a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67" i="1"/>
  <c r="B67" i="1"/>
  <c r="B68" i="1" s="1"/>
  <c r="B69" i="1" s="1"/>
  <c r="A52" i="1"/>
  <c r="A53" i="1"/>
  <c r="A54" i="1"/>
  <c r="A55" i="1"/>
  <c r="A57" i="1"/>
  <c r="A58" i="1"/>
  <c r="A59" i="1"/>
  <c r="A60" i="1"/>
  <c r="A62" i="1"/>
  <c r="A63" i="1"/>
  <c r="A64" i="1"/>
  <c r="A65" i="1"/>
  <c r="A66" i="1"/>
  <c r="A51" i="1"/>
  <c r="B51" i="1"/>
  <c r="A36" i="1"/>
  <c r="A37" i="1"/>
  <c r="A39" i="1"/>
  <c r="A41" i="1"/>
  <c r="A42" i="1"/>
  <c r="A43" i="1"/>
  <c r="A44" i="1"/>
  <c r="A45" i="1"/>
  <c r="A46" i="1"/>
  <c r="A47" i="1"/>
  <c r="A48" i="1"/>
  <c r="A49" i="1"/>
  <c r="A50" i="1"/>
  <c r="A35" i="1"/>
  <c r="B35" i="1"/>
  <c r="B19" i="1"/>
  <c r="B20" i="1" s="1"/>
  <c r="B21" i="1" s="1"/>
  <c r="B22" i="1" s="1"/>
  <c r="B23" i="1" s="1"/>
  <c r="K19" i="1" a="1"/>
  <c r="L19" i="1" a="1"/>
  <c r="J19" i="1" a="1"/>
  <c r="I19" i="1" a="1"/>
  <c r="H19" i="1" a="1"/>
  <c r="G19" i="1" a="1"/>
  <c r="K20" i="1" a="1"/>
  <c r="L20" i="1" a="1"/>
  <c r="I20" i="1" a="1"/>
  <c r="G20" i="1" a="1"/>
  <c r="J20" i="1" a="1"/>
  <c r="H20" i="1" a="1"/>
  <c r="L21" i="1" a="1"/>
  <c r="K21" i="1" a="1"/>
  <c r="J21" i="1" a="1"/>
  <c r="I21" i="1" a="1"/>
  <c r="H21" i="1" a="1"/>
  <c r="G21" i="1" a="1"/>
  <c r="L22" i="1" a="1"/>
  <c r="K22" i="1" a="1"/>
  <c r="J22" i="1" a="1"/>
  <c r="I22" i="1" a="1"/>
  <c r="H22" i="1" a="1"/>
  <c r="G22" i="1" a="1"/>
  <c r="B4" i="1"/>
  <c r="Q86" i="1" l="1"/>
  <c r="Q89" i="1"/>
  <c r="Q88" i="1"/>
  <c r="Q90" i="1"/>
  <c r="Q92" i="1"/>
  <c r="Q93" i="1"/>
  <c r="Q94" i="1"/>
  <c r="Q83" i="1"/>
  <c r="Q84" i="1"/>
  <c r="Q82" i="1"/>
  <c r="Q91" i="1"/>
  <c r="N95" i="1" a="1"/>
  <c r="M95" i="1" a="1"/>
  <c r="P95" i="1"/>
  <c r="O95" i="1"/>
  <c r="R84" i="1"/>
  <c r="S84" i="1" s="1"/>
  <c r="R88" i="1"/>
  <c r="S88" i="1" s="1"/>
  <c r="R85" i="1"/>
  <c r="S85" i="1" s="1"/>
  <c r="R86" i="1"/>
  <c r="S86" i="1"/>
  <c r="R87" i="1"/>
  <c r="S87" i="1" s="1"/>
  <c r="R89" i="1"/>
  <c r="S89" i="1" s="1"/>
  <c r="R90" i="1"/>
  <c r="S90" i="1" s="1"/>
  <c r="R94" i="1"/>
  <c r="S94" i="1" s="1"/>
  <c r="R93" i="1"/>
  <c r="R92" i="1"/>
  <c r="S92" i="1" s="1"/>
  <c r="R91" i="1"/>
  <c r="S91" i="1" s="1"/>
  <c r="R82" i="1"/>
  <c r="S82" i="1" s="1"/>
  <c r="R83" i="1"/>
  <c r="M19" i="1" a="1"/>
  <c r="N19" i="1" a="1"/>
  <c r="M20" i="1" a="1"/>
  <c r="N20" i="1" a="1"/>
  <c r="M21" i="1" a="1"/>
  <c r="N21" i="1" a="1"/>
  <c r="M22" i="1" a="1"/>
  <c r="N22" i="1" a="1"/>
  <c r="R3" i="1"/>
  <c r="Q3" i="1"/>
  <c r="O19" i="1"/>
  <c r="P19" i="1"/>
  <c r="O20" i="1"/>
  <c r="P20" i="1"/>
  <c r="O21" i="1"/>
  <c r="P21" i="1"/>
  <c r="O22" i="1"/>
  <c r="P22" i="1"/>
  <c r="L68" i="1" a="1"/>
  <c r="K68" i="1" a="1"/>
  <c r="I68" i="1" a="1"/>
  <c r="G68" i="1" a="1"/>
  <c r="H68" i="1" a="1"/>
  <c r="J68" i="1" a="1"/>
  <c r="B70" i="1"/>
  <c r="L69" i="1" a="1"/>
  <c r="G69" i="1" a="1"/>
  <c r="H69" i="1" a="1"/>
  <c r="I69" i="1" a="1"/>
  <c r="J69" i="1" a="1"/>
  <c r="K69" i="1" a="1"/>
  <c r="G67" i="1" a="1"/>
  <c r="H67" i="1" a="1"/>
  <c r="I67" i="1" a="1"/>
  <c r="J67" i="1" a="1"/>
  <c r="L67" i="1" a="1"/>
  <c r="K67" i="1" a="1"/>
  <c r="B52" i="1"/>
  <c r="G51" i="1" a="1"/>
  <c r="H51" i="1" a="1"/>
  <c r="I51" i="1" a="1"/>
  <c r="J51" i="1" a="1"/>
  <c r="K51" i="1" a="1"/>
  <c r="L51" i="1" a="1"/>
  <c r="B36" i="1"/>
  <c r="G35" i="1" a="1"/>
  <c r="L35" i="1" a="1"/>
  <c r="H35" i="1" a="1"/>
  <c r="I35" i="1" a="1"/>
  <c r="J35" i="1" a="1"/>
  <c r="K35" i="1" a="1"/>
  <c r="G23" i="1" a="1"/>
  <c r="H23" i="1" a="1"/>
  <c r="I23" i="1" a="1"/>
  <c r="J23" i="1" a="1"/>
  <c r="K23" i="1" a="1"/>
  <c r="L23" i="1" a="1"/>
  <c r="B24" i="1"/>
  <c r="B5" i="1"/>
  <c r="G4" i="1" a="1"/>
  <c r="H4" i="1" a="1"/>
  <c r="I4" i="1" a="1"/>
  <c r="J4" i="1" a="1"/>
  <c r="K4" i="1" a="1"/>
  <c r="L4" i="1" a="1"/>
  <c r="S93" i="1" l="1"/>
  <c r="Q95" i="1"/>
  <c r="S83" i="1"/>
  <c r="R95" i="1"/>
  <c r="M68" i="1" a="1"/>
  <c r="N68" i="1" a="1"/>
  <c r="N69" i="1" a="1"/>
  <c r="M69" i="1" a="1"/>
  <c r="N67" i="1" a="1"/>
  <c r="M67" i="1" a="1"/>
  <c r="N51" i="1" a="1"/>
  <c r="M51" i="1" a="1"/>
  <c r="M35" i="1" a="1"/>
  <c r="N35" i="1" a="1"/>
  <c r="M23" i="1" a="1"/>
  <c r="N23" i="1" a="1"/>
  <c r="M4" i="1" a="1"/>
  <c r="N4" i="1" a="1"/>
  <c r="R19" i="1"/>
  <c r="Q19" i="1"/>
  <c r="R20" i="1"/>
  <c r="Q20" i="1"/>
  <c r="R21" i="1"/>
  <c r="Q21" i="1"/>
  <c r="R22" i="1"/>
  <c r="Q22" i="1"/>
  <c r="S3" i="1"/>
  <c r="O68" i="1"/>
  <c r="P68" i="1"/>
  <c r="O69" i="1"/>
  <c r="P69" i="1"/>
  <c r="O67" i="1"/>
  <c r="P67" i="1"/>
  <c r="O51" i="1"/>
  <c r="P51" i="1"/>
  <c r="O35" i="1"/>
  <c r="P35" i="1"/>
  <c r="O23" i="1"/>
  <c r="P23" i="1"/>
  <c r="O4" i="1"/>
  <c r="P4" i="1"/>
  <c r="J70" i="1" a="1"/>
  <c r="I70" i="1" a="1"/>
  <c r="H70" i="1" a="1"/>
  <c r="G70" i="1" a="1"/>
  <c r="L70" i="1" a="1"/>
  <c r="K70" i="1" a="1"/>
  <c r="B71" i="1"/>
  <c r="B53" i="1"/>
  <c r="L52" i="1" a="1"/>
  <c r="K52" i="1" a="1"/>
  <c r="J52" i="1" a="1"/>
  <c r="I52" i="1" a="1"/>
  <c r="H52" i="1" a="1"/>
  <c r="G52" i="1" a="1"/>
  <c r="B37" i="1"/>
  <c r="L36" i="1" a="1"/>
  <c r="H36" i="1" a="1"/>
  <c r="J36" i="1" a="1"/>
  <c r="K36" i="1" a="1"/>
  <c r="I36" i="1" a="1"/>
  <c r="G36" i="1" a="1"/>
  <c r="G24" i="1" a="1"/>
  <c r="H24" i="1" a="1"/>
  <c r="I24" i="1" a="1"/>
  <c r="J24" i="1" a="1"/>
  <c r="K24" i="1" a="1"/>
  <c r="L24" i="1" a="1"/>
  <c r="B25" i="1"/>
  <c r="L5" i="1" a="1"/>
  <c r="K5" i="1" a="1"/>
  <c r="J5" i="1" a="1"/>
  <c r="I5" i="1" a="1"/>
  <c r="H5" i="1" a="1"/>
  <c r="G5" i="1" a="1"/>
  <c r="B6" i="1"/>
  <c r="S21" i="1" l="1"/>
  <c r="S95" i="1"/>
  <c r="M70" i="1" a="1"/>
  <c r="N70" i="1" a="1"/>
  <c r="M52" i="1" a="1"/>
  <c r="N52" i="1" a="1"/>
  <c r="M36" i="1" a="1"/>
  <c r="N36" i="1" a="1"/>
  <c r="M24" i="1" a="1"/>
  <c r="N24" i="1" a="1"/>
  <c r="M5" i="1" a="1"/>
  <c r="N5" i="1" a="1"/>
  <c r="R68" i="1"/>
  <c r="Q68" i="1"/>
  <c r="R69" i="1"/>
  <c r="Q69" i="1"/>
  <c r="R67" i="1"/>
  <c r="Q67" i="1"/>
  <c r="R51" i="1"/>
  <c r="Q51" i="1"/>
  <c r="R35" i="1"/>
  <c r="Q35" i="1"/>
  <c r="S35" i="1" s="1"/>
  <c r="R23" i="1"/>
  <c r="Q23" i="1"/>
  <c r="R4" i="1"/>
  <c r="Q4" i="1"/>
  <c r="S20" i="1"/>
  <c r="S19" i="1"/>
  <c r="S22" i="1"/>
  <c r="O70" i="1"/>
  <c r="P70" i="1"/>
  <c r="O52" i="1"/>
  <c r="P52" i="1"/>
  <c r="O36" i="1"/>
  <c r="P36" i="1"/>
  <c r="O24" i="1"/>
  <c r="P24" i="1"/>
  <c r="O5" i="1"/>
  <c r="P5" i="1"/>
  <c r="L71" i="1" a="1"/>
  <c r="K71" i="1" a="1"/>
  <c r="J71" i="1" a="1"/>
  <c r="I71" i="1" a="1"/>
  <c r="H71" i="1" a="1"/>
  <c r="G71" i="1" a="1"/>
  <c r="B72" i="1"/>
  <c r="L53" i="1" a="1"/>
  <c r="K53" i="1" a="1"/>
  <c r="J53" i="1" a="1"/>
  <c r="I53" i="1" a="1"/>
  <c r="H53" i="1" a="1"/>
  <c r="G53" i="1" a="1"/>
  <c r="B54" i="1"/>
  <c r="I37" i="1" a="1"/>
  <c r="K37" i="1" a="1"/>
  <c r="H37" i="1" a="1"/>
  <c r="L37" i="1" a="1"/>
  <c r="J37" i="1" a="1"/>
  <c r="G37" i="1" a="1"/>
  <c r="B38" i="1"/>
  <c r="G25" i="1" a="1"/>
  <c r="H25" i="1" a="1"/>
  <c r="I25" i="1" a="1"/>
  <c r="J25" i="1" a="1"/>
  <c r="K25" i="1" a="1"/>
  <c r="L25" i="1" a="1"/>
  <c r="B26" i="1"/>
  <c r="L6" i="1" a="1"/>
  <c r="K6" i="1" a="1"/>
  <c r="J6" i="1" a="1"/>
  <c r="I6" i="1" a="1"/>
  <c r="H6" i="1" a="1"/>
  <c r="G6" i="1" a="1"/>
  <c r="B7" i="1"/>
  <c r="S69" i="1" l="1"/>
  <c r="N71" i="1" a="1"/>
  <c r="M71" i="1" a="1"/>
  <c r="M53" i="1" a="1"/>
  <c r="N53" i="1" a="1"/>
  <c r="M37" i="1" a="1"/>
  <c r="N37" i="1" a="1"/>
  <c r="M25" i="1" a="1"/>
  <c r="N25" i="1" a="1"/>
  <c r="M6" i="1" a="1"/>
  <c r="N6" i="1" a="1"/>
  <c r="R70" i="1"/>
  <c r="Q70" i="1"/>
  <c r="R52" i="1"/>
  <c r="Q52" i="1"/>
  <c r="R36" i="1"/>
  <c r="Q36" i="1"/>
  <c r="S36" i="1" s="1"/>
  <c r="R24" i="1"/>
  <c r="Q24" i="1"/>
  <c r="R5" i="1"/>
  <c r="Q5" i="1"/>
  <c r="S68" i="1"/>
  <c r="S67" i="1"/>
  <c r="S51" i="1"/>
  <c r="S23" i="1"/>
  <c r="S4" i="1"/>
  <c r="O71" i="1"/>
  <c r="P71" i="1"/>
  <c r="O53" i="1"/>
  <c r="P53" i="1"/>
  <c r="O37" i="1"/>
  <c r="P37" i="1"/>
  <c r="O25" i="1"/>
  <c r="P25" i="1"/>
  <c r="O6" i="1"/>
  <c r="P6" i="1"/>
  <c r="L72" i="1" a="1"/>
  <c r="K72" i="1" a="1"/>
  <c r="J72" i="1" a="1"/>
  <c r="I72" i="1" a="1"/>
  <c r="H72" i="1" a="1"/>
  <c r="G72" i="1" a="1"/>
  <c r="B73" i="1"/>
  <c r="L54" i="1" a="1"/>
  <c r="K54" i="1" a="1"/>
  <c r="J54" i="1" a="1"/>
  <c r="I54" i="1" a="1"/>
  <c r="H54" i="1" a="1"/>
  <c r="G54" i="1" a="1"/>
  <c r="B55" i="1"/>
  <c r="K38" i="1" a="1"/>
  <c r="L38" i="1" a="1"/>
  <c r="H38" i="1" a="1"/>
  <c r="G38" i="1" a="1"/>
  <c r="J38" i="1" a="1"/>
  <c r="I38" i="1" a="1"/>
  <c r="B39" i="1"/>
  <c r="B27" i="1"/>
  <c r="G26" i="1" a="1"/>
  <c r="H26" i="1" a="1"/>
  <c r="I26" i="1" a="1"/>
  <c r="J26" i="1" a="1"/>
  <c r="K26" i="1" a="1"/>
  <c r="L26" i="1" a="1"/>
  <c r="K7" i="1" a="1"/>
  <c r="J7" i="1" a="1"/>
  <c r="I7" i="1" a="1"/>
  <c r="H7" i="1" a="1"/>
  <c r="G7" i="1" a="1"/>
  <c r="L7" i="1" a="1"/>
  <c r="B8" i="1"/>
  <c r="M72" i="1" l="1" a="1"/>
  <c r="N72" i="1" a="1"/>
  <c r="M54" i="1" a="1"/>
  <c r="N54" i="1" a="1"/>
  <c r="N38" i="1" a="1"/>
  <c r="M38" i="1" a="1"/>
  <c r="M26" i="1" a="1"/>
  <c r="N26" i="1" a="1"/>
  <c r="M7" i="1" a="1"/>
  <c r="N7" i="1" a="1"/>
  <c r="R71" i="1"/>
  <c r="Q71" i="1"/>
  <c r="R53" i="1"/>
  <c r="Q53" i="1"/>
  <c r="R37" i="1"/>
  <c r="Q37" i="1"/>
  <c r="R25" i="1"/>
  <c r="Q25" i="1"/>
  <c r="R6" i="1"/>
  <c r="Q6" i="1"/>
  <c r="S70" i="1"/>
  <c r="S52" i="1"/>
  <c r="S24" i="1"/>
  <c r="S5" i="1"/>
  <c r="O72" i="1"/>
  <c r="P72" i="1"/>
  <c r="O54" i="1"/>
  <c r="P54" i="1"/>
  <c r="O38" i="1"/>
  <c r="P38" i="1"/>
  <c r="O26" i="1"/>
  <c r="P26" i="1"/>
  <c r="O7" i="1"/>
  <c r="P7" i="1"/>
  <c r="J73" i="1" a="1"/>
  <c r="I73" i="1" a="1"/>
  <c r="H73" i="1" a="1"/>
  <c r="G73" i="1" a="1"/>
  <c r="L73" i="1" a="1"/>
  <c r="K73" i="1" a="1"/>
  <c r="B74" i="1"/>
  <c r="L55" i="1" a="1"/>
  <c r="K55" i="1" a="1"/>
  <c r="J55" i="1" a="1"/>
  <c r="I55" i="1" a="1"/>
  <c r="H55" i="1" a="1"/>
  <c r="G55" i="1" a="1"/>
  <c r="B56" i="1"/>
  <c r="L39" i="1" a="1"/>
  <c r="K39" i="1" a="1"/>
  <c r="J39" i="1" a="1"/>
  <c r="I39" i="1" a="1"/>
  <c r="H39" i="1" a="1"/>
  <c r="G39" i="1" a="1"/>
  <c r="B40" i="1"/>
  <c r="B28" i="1"/>
  <c r="L27" i="1" a="1"/>
  <c r="K27" i="1" a="1"/>
  <c r="J27" i="1" a="1"/>
  <c r="I27" i="1" a="1"/>
  <c r="H27" i="1" a="1"/>
  <c r="G27" i="1" a="1"/>
  <c r="K8" i="1" a="1"/>
  <c r="J8" i="1" a="1"/>
  <c r="I8" i="1" a="1"/>
  <c r="H8" i="1" a="1"/>
  <c r="G8" i="1" a="1"/>
  <c r="L8" i="1" a="1"/>
  <c r="B9" i="1"/>
  <c r="S71" i="1" l="1"/>
  <c r="M73" i="1" a="1"/>
  <c r="N73" i="1" a="1"/>
  <c r="M55" i="1" a="1"/>
  <c r="N55" i="1" a="1"/>
  <c r="M39" i="1" a="1"/>
  <c r="N39" i="1" a="1"/>
  <c r="M27" i="1" a="1"/>
  <c r="N27" i="1" a="1"/>
  <c r="M8" i="1" a="1"/>
  <c r="N8" i="1" a="1"/>
  <c r="S53" i="1"/>
  <c r="S6" i="1"/>
  <c r="R72" i="1"/>
  <c r="Q72" i="1"/>
  <c r="R54" i="1"/>
  <c r="Q54" i="1"/>
  <c r="R38" i="1"/>
  <c r="Q38" i="1"/>
  <c r="R26" i="1"/>
  <c r="Q26" i="1"/>
  <c r="R7" i="1"/>
  <c r="Q7" i="1"/>
  <c r="S37" i="1"/>
  <c r="S25" i="1"/>
  <c r="O73" i="1"/>
  <c r="P73" i="1"/>
  <c r="O55" i="1"/>
  <c r="P55" i="1"/>
  <c r="O39" i="1"/>
  <c r="P39" i="1"/>
  <c r="O27" i="1"/>
  <c r="P27" i="1"/>
  <c r="O8" i="1"/>
  <c r="P8" i="1"/>
  <c r="L74" i="1" a="1"/>
  <c r="I74" i="1" a="1"/>
  <c r="K74" i="1" a="1"/>
  <c r="J74" i="1" a="1"/>
  <c r="H74" i="1" a="1"/>
  <c r="G74" i="1" a="1"/>
  <c r="B75" i="1"/>
  <c r="L56" i="1" a="1"/>
  <c r="K56" i="1" a="1"/>
  <c r="J56" i="1" a="1"/>
  <c r="I56" i="1" a="1"/>
  <c r="H56" i="1" a="1"/>
  <c r="G56" i="1" a="1"/>
  <c r="B57" i="1"/>
  <c r="L40" i="1" a="1"/>
  <c r="K40" i="1" a="1"/>
  <c r="J40" i="1" a="1"/>
  <c r="I40" i="1" a="1"/>
  <c r="H40" i="1" a="1"/>
  <c r="G40" i="1" a="1"/>
  <c r="B41" i="1"/>
  <c r="B29" i="1"/>
  <c r="K28" i="1" a="1"/>
  <c r="J28" i="1" a="1"/>
  <c r="H28" i="1" a="1"/>
  <c r="G28" i="1" a="1"/>
  <c r="L28" i="1" a="1"/>
  <c r="I28" i="1" a="1"/>
  <c r="L9" i="1" a="1"/>
  <c r="K9" i="1" a="1"/>
  <c r="J9" i="1" a="1"/>
  <c r="I9" i="1" a="1"/>
  <c r="H9" i="1" a="1"/>
  <c r="G9" i="1" a="1"/>
  <c r="B10" i="1"/>
  <c r="S38" i="1" l="1"/>
  <c r="M74" i="1" a="1"/>
  <c r="N74" i="1" a="1"/>
  <c r="M56" i="1" a="1"/>
  <c r="N56" i="1" a="1"/>
  <c r="M40" i="1" a="1"/>
  <c r="N40" i="1" a="1"/>
  <c r="M28" i="1" a="1"/>
  <c r="N28" i="1" a="1"/>
  <c r="M9" i="1" a="1"/>
  <c r="N9" i="1" a="1"/>
  <c r="R73" i="1"/>
  <c r="S73" i="1" s="1"/>
  <c r="Q73" i="1"/>
  <c r="R55" i="1"/>
  <c r="Q55" i="1"/>
  <c r="R39" i="1"/>
  <c r="Q39" i="1"/>
  <c r="R27" i="1"/>
  <c r="Q27" i="1"/>
  <c r="R8" i="1"/>
  <c r="Q8" i="1"/>
  <c r="S72" i="1"/>
  <c r="S54" i="1"/>
  <c r="S7" i="1"/>
  <c r="S26" i="1"/>
  <c r="O74" i="1"/>
  <c r="P74" i="1"/>
  <c r="O56" i="1"/>
  <c r="P56" i="1"/>
  <c r="O40" i="1"/>
  <c r="P40" i="1"/>
  <c r="O28" i="1"/>
  <c r="P28" i="1"/>
  <c r="O9" i="1"/>
  <c r="P9" i="1"/>
  <c r="J75" i="1" a="1"/>
  <c r="I75" i="1" a="1"/>
  <c r="H75" i="1" a="1"/>
  <c r="G75" i="1" a="1"/>
  <c r="L75" i="1" a="1"/>
  <c r="K75" i="1" a="1"/>
  <c r="B76" i="1"/>
  <c r="L57" i="1" a="1"/>
  <c r="K57" i="1" a="1"/>
  <c r="J57" i="1" a="1"/>
  <c r="I57" i="1" a="1"/>
  <c r="H57" i="1" a="1"/>
  <c r="G57" i="1" a="1"/>
  <c r="B58" i="1"/>
  <c r="L41" i="1" a="1"/>
  <c r="K41" i="1" a="1"/>
  <c r="J41" i="1" a="1"/>
  <c r="I41" i="1" a="1"/>
  <c r="H41" i="1" a="1"/>
  <c r="G41" i="1" a="1"/>
  <c r="B42" i="1"/>
  <c r="B30" i="1"/>
  <c r="L29" i="1" a="1"/>
  <c r="K29" i="1" a="1"/>
  <c r="J29" i="1" a="1"/>
  <c r="I29" i="1" a="1"/>
  <c r="H29" i="1" a="1"/>
  <c r="G29" i="1" a="1"/>
  <c r="L10" i="1" a="1"/>
  <c r="K10" i="1" a="1"/>
  <c r="J10" i="1" a="1"/>
  <c r="I10" i="1" a="1"/>
  <c r="H10" i="1" a="1"/>
  <c r="G10" i="1" a="1"/>
  <c r="B11" i="1"/>
  <c r="M75" i="1" l="1" a="1"/>
  <c r="N75" i="1" a="1"/>
  <c r="M57" i="1" a="1"/>
  <c r="N57" i="1" a="1"/>
  <c r="N41" i="1" a="1"/>
  <c r="M41" i="1" a="1"/>
  <c r="M29" i="1" a="1"/>
  <c r="N29" i="1" a="1"/>
  <c r="M10" i="1" a="1"/>
  <c r="N10" i="1" a="1"/>
  <c r="S39" i="1"/>
  <c r="R74" i="1"/>
  <c r="Q74" i="1"/>
  <c r="R56" i="1"/>
  <c r="Q56" i="1"/>
  <c r="R40" i="1"/>
  <c r="Q40" i="1"/>
  <c r="R28" i="1"/>
  <c r="Q28" i="1"/>
  <c r="R9" i="1"/>
  <c r="Q9" i="1"/>
  <c r="S55" i="1"/>
  <c r="S8" i="1"/>
  <c r="S27" i="1"/>
  <c r="O75" i="1"/>
  <c r="P75" i="1"/>
  <c r="O57" i="1"/>
  <c r="P57" i="1"/>
  <c r="O41" i="1"/>
  <c r="P41" i="1"/>
  <c r="O29" i="1"/>
  <c r="P29" i="1"/>
  <c r="O10" i="1"/>
  <c r="P10" i="1"/>
  <c r="J76" i="1" a="1"/>
  <c r="H76" i="1" a="1"/>
  <c r="G76" i="1" a="1"/>
  <c r="L76" i="1" a="1"/>
  <c r="K76" i="1" a="1"/>
  <c r="I76" i="1" a="1"/>
  <c r="B77" i="1"/>
  <c r="L58" i="1" a="1"/>
  <c r="K58" i="1" a="1"/>
  <c r="J58" i="1" a="1"/>
  <c r="I58" i="1" a="1"/>
  <c r="H58" i="1" a="1"/>
  <c r="G58" i="1" a="1"/>
  <c r="B59" i="1"/>
  <c r="L42" i="1" a="1"/>
  <c r="K42" i="1" a="1"/>
  <c r="J42" i="1" a="1"/>
  <c r="I42" i="1" a="1"/>
  <c r="H42" i="1" a="1"/>
  <c r="G42" i="1" a="1"/>
  <c r="B43" i="1"/>
  <c r="B31" i="1"/>
  <c r="L30" i="1" a="1"/>
  <c r="K30" i="1" a="1"/>
  <c r="J30" i="1" a="1"/>
  <c r="I30" i="1" a="1"/>
  <c r="H30" i="1" a="1"/>
  <c r="G30" i="1" a="1"/>
  <c r="L11" i="1" a="1"/>
  <c r="K11" i="1" a="1"/>
  <c r="J11" i="1" a="1"/>
  <c r="I11" i="1" a="1"/>
  <c r="H11" i="1" a="1"/>
  <c r="G11" i="1" a="1"/>
  <c r="B12" i="1"/>
  <c r="S28" i="1" l="1"/>
  <c r="M76" i="1" a="1"/>
  <c r="N76" i="1" a="1"/>
  <c r="M58" i="1" a="1"/>
  <c r="N58" i="1" a="1"/>
  <c r="N42" i="1" a="1"/>
  <c r="M42" i="1" a="1"/>
  <c r="M30" i="1" a="1"/>
  <c r="N30" i="1" a="1"/>
  <c r="M11" i="1" a="1"/>
  <c r="N11" i="1" a="1"/>
  <c r="S56" i="1"/>
  <c r="R75" i="1"/>
  <c r="Q75" i="1"/>
  <c r="R57" i="1"/>
  <c r="Q57" i="1"/>
  <c r="R41" i="1"/>
  <c r="Q41" i="1"/>
  <c r="R29" i="1"/>
  <c r="Q29" i="1"/>
  <c r="R10" i="1"/>
  <c r="Q10" i="1"/>
  <c r="S74" i="1"/>
  <c r="S9" i="1"/>
  <c r="S40" i="1"/>
  <c r="O76" i="1"/>
  <c r="P76" i="1"/>
  <c r="O58" i="1"/>
  <c r="P58" i="1"/>
  <c r="O42" i="1"/>
  <c r="P42" i="1"/>
  <c r="O30" i="1"/>
  <c r="P30" i="1"/>
  <c r="O11" i="1"/>
  <c r="P11" i="1"/>
  <c r="K77" i="1" a="1"/>
  <c r="J77" i="1" a="1"/>
  <c r="I77" i="1" a="1"/>
  <c r="G77" i="1" a="1"/>
  <c r="H77" i="1" a="1"/>
  <c r="L77" i="1" a="1"/>
  <c r="B78" i="1"/>
  <c r="L59" i="1" a="1"/>
  <c r="K59" i="1" a="1"/>
  <c r="J59" i="1" a="1"/>
  <c r="I59" i="1" a="1"/>
  <c r="H59" i="1" a="1"/>
  <c r="G59" i="1" a="1"/>
  <c r="B60" i="1"/>
  <c r="L43" i="1" a="1"/>
  <c r="K43" i="1" a="1"/>
  <c r="J43" i="1" a="1"/>
  <c r="I43" i="1" a="1"/>
  <c r="H43" i="1" a="1"/>
  <c r="G43" i="1" a="1"/>
  <c r="B44" i="1"/>
  <c r="B32" i="1"/>
  <c r="L31" i="1" a="1"/>
  <c r="K31" i="1" a="1"/>
  <c r="J31" i="1" a="1"/>
  <c r="I31" i="1" a="1"/>
  <c r="H31" i="1" a="1"/>
  <c r="G31" i="1" a="1"/>
  <c r="L12" i="1" a="1"/>
  <c r="K12" i="1" a="1"/>
  <c r="J12" i="1" a="1"/>
  <c r="I12" i="1" a="1"/>
  <c r="H12" i="1" a="1"/>
  <c r="G12" i="1" a="1"/>
  <c r="B13" i="1"/>
  <c r="M77" i="1" l="1" a="1"/>
  <c r="N77" i="1" a="1"/>
  <c r="N59" i="1" a="1"/>
  <c r="M59" i="1" a="1"/>
  <c r="N43" i="1" a="1"/>
  <c r="M43" i="1" a="1"/>
  <c r="M31" i="1" a="1"/>
  <c r="N31" i="1" a="1"/>
  <c r="M12" i="1" a="1"/>
  <c r="N12" i="1" a="1"/>
  <c r="S57" i="1"/>
  <c r="R76" i="1"/>
  <c r="Q76" i="1"/>
  <c r="R58" i="1"/>
  <c r="Q58" i="1"/>
  <c r="R42" i="1"/>
  <c r="Q42" i="1"/>
  <c r="S42" i="1" s="1"/>
  <c r="R30" i="1"/>
  <c r="Q30" i="1"/>
  <c r="R11" i="1"/>
  <c r="Q11" i="1"/>
  <c r="S75" i="1"/>
  <c r="S41" i="1"/>
  <c r="S29" i="1"/>
  <c r="S10" i="1"/>
  <c r="O77" i="1"/>
  <c r="P77" i="1"/>
  <c r="O59" i="1"/>
  <c r="P59" i="1"/>
  <c r="O43" i="1"/>
  <c r="P43" i="1"/>
  <c r="O31" i="1"/>
  <c r="P31" i="1"/>
  <c r="O12" i="1"/>
  <c r="P12" i="1"/>
  <c r="J78" i="1" a="1"/>
  <c r="I78" i="1" a="1"/>
  <c r="H78" i="1" a="1"/>
  <c r="G78" i="1" a="1"/>
  <c r="L78" i="1" a="1"/>
  <c r="K78" i="1" a="1"/>
  <c r="B79" i="1"/>
  <c r="L60" i="1" a="1"/>
  <c r="K60" i="1" a="1"/>
  <c r="J60" i="1" a="1"/>
  <c r="I60" i="1" a="1"/>
  <c r="H60" i="1" a="1"/>
  <c r="G60" i="1" a="1"/>
  <c r="B61" i="1"/>
  <c r="L44" i="1" a="1"/>
  <c r="K44" i="1" a="1"/>
  <c r="J44" i="1" a="1"/>
  <c r="I44" i="1" a="1"/>
  <c r="H44" i="1" a="1"/>
  <c r="G44" i="1" a="1"/>
  <c r="B45" i="1"/>
  <c r="B33" i="1"/>
  <c r="L32" i="1" a="1"/>
  <c r="K32" i="1" a="1"/>
  <c r="J32" i="1" a="1"/>
  <c r="I32" i="1" a="1"/>
  <c r="H32" i="1" a="1"/>
  <c r="G32" i="1" a="1"/>
  <c r="L13" i="1" a="1"/>
  <c r="K13" i="1" a="1"/>
  <c r="J13" i="1" a="1"/>
  <c r="I13" i="1" a="1"/>
  <c r="H13" i="1" a="1"/>
  <c r="G13" i="1" a="1"/>
  <c r="B14" i="1"/>
  <c r="S76" i="1" l="1"/>
  <c r="M78" i="1" a="1"/>
  <c r="N78" i="1" a="1"/>
  <c r="M60" i="1" a="1"/>
  <c r="N60" i="1" a="1"/>
  <c r="N44" i="1" a="1"/>
  <c r="M44" i="1" a="1"/>
  <c r="M32" i="1" a="1"/>
  <c r="N32" i="1" a="1"/>
  <c r="M13" i="1" a="1"/>
  <c r="N13" i="1" a="1"/>
  <c r="S30" i="1"/>
  <c r="R77" i="1"/>
  <c r="Q77" i="1"/>
  <c r="R59" i="1"/>
  <c r="Q59" i="1"/>
  <c r="S59" i="1" s="1"/>
  <c r="R43" i="1"/>
  <c r="Q43" i="1"/>
  <c r="S43" i="1" s="1"/>
  <c r="R31" i="1"/>
  <c r="Q31" i="1"/>
  <c r="R12" i="1"/>
  <c r="Q12" i="1"/>
  <c r="S11" i="1"/>
  <c r="S58" i="1"/>
  <c r="O78" i="1"/>
  <c r="P78" i="1"/>
  <c r="O60" i="1"/>
  <c r="P60" i="1"/>
  <c r="O44" i="1"/>
  <c r="P44" i="1"/>
  <c r="O32" i="1"/>
  <c r="P32" i="1"/>
  <c r="O13" i="1"/>
  <c r="P13" i="1"/>
  <c r="L79" i="1" a="1"/>
  <c r="K79" i="1" a="1"/>
  <c r="H79" i="1" a="1"/>
  <c r="G79" i="1" a="1"/>
  <c r="J79" i="1" a="1"/>
  <c r="I79" i="1" a="1"/>
  <c r="B80" i="1"/>
  <c r="L61" i="1" a="1"/>
  <c r="K61" i="1" a="1"/>
  <c r="J61" i="1" a="1"/>
  <c r="I61" i="1" a="1"/>
  <c r="H61" i="1" a="1"/>
  <c r="G61" i="1" a="1"/>
  <c r="B62" i="1"/>
  <c r="L45" i="1" a="1"/>
  <c r="K45" i="1" a="1"/>
  <c r="J45" i="1" a="1"/>
  <c r="I45" i="1" a="1"/>
  <c r="H45" i="1" a="1"/>
  <c r="G45" i="1" a="1"/>
  <c r="B46" i="1"/>
  <c r="B34" i="1"/>
  <c r="L33" i="1" a="1"/>
  <c r="K33" i="1" a="1"/>
  <c r="J33" i="1" a="1"/>
  <c r="I33" i="1" a="1"/>
  <c r="H33" i="1" a="1"/>
  <c r="G33" i="1" a="1"/>
  <c r="L14" i="1" a="1"/>
  <c r="K14" i="1" a="1"/>
  <c r="J14" i="1" a="1"/>
  <c r="I14" i="1" a="1"/>
  <c r="H14" i="1" a="1"/>
  <c r="G14" i="1" a="1"/>
  <c r="B15" i="1"/>
  <c r="S77" i="1" l="1"/>
  <c r="M79" i="1" a="1"/>
  <c r="N79" i="1" a="1"/>
  <c r="M61" i="1" a="1"/>
  <c r="N61" i="1" a="1"/>
  <c r="N45" i="1" a="1"/>
  <c r="M45" i="1" a="1"/>
  <c r="M33" i="1" a="1"/>
  <c r="N33" i="1" a="1"/>
  <c r="M14" i="1" a="1"/>
  <c r="N14" i="1" a="1"/>
  <c r="R78" i="1"/>
  <c r="Q78" i="1"/>
  <c r="R60" i="1"/>
  <c r="Q60" i="1"/>
  <c r="R44" i="1"/>
  <c r="Q44" i="1"/>
  <c r="R32" i="1"/>
  <c r="Q32" i="1"/>
  <c r="R13" i="1"/>
  <c r="Q13" i="1"/>
  <c r="S31" i="1"/>
  <c r="S12" i="1"/>
  <c r="O79" i="1"/>
  <c r="P79" i="1"/>
  <c r="O61" i="1"/>
  <c r="P61" i="1"/>
  <c r="O45" i="1"/>
  <c r="P45" i="1"/>
  <c r="O33" i="1"/>
  <c r="P33" i="1"/>
  <c r="O14" i="1"/>
  <c r="P14" i="1"/>
  <c r="L80" i="1" a="1"/>
  <c r="K80" i="1" a="1"/>
  <c r="J80" i="1" a="1"/>
  <c r="I80" i="1" a="1"/>
  <c r="H80" i="1" a="1"/>
  <c r="G80" i="1" a="1"/>
  <c r="B81" i="1"/>
  <c r="L62" i="1" a="1"/>
  <c r="K62" i="1" a="1"/>
  <c r="J62" i="1" a="1"/>
  <c r="I62" i="1" a="1"/>
  <c r="H62" i="1" a="1"/>
  <c r="G62" i="1" a="1"/>
  <c r="B63" i="1"/>
  <c r="L46" i="1" a="1"/>
  <c r="K46" i="1" a="1"/>
  <c r="J46" i="1" a="1"/>
  <c r="I46" i="1" a="1"/>
  <c r="H46" i="1" a="1"/>
  <c r="G46" i="1" a="1"/>
  <c r="B47" i="1"/>
  <c r="K34" i="1" a="1"/>
  <c r="G34" i="1" a="1"/>
  <c r="I34" i="1" a="1"/>
  <c r="L34" i="1" a="1"/>
  <c r="J34" i="1" a="1"/>
  <c r="H34" i="1" a="1"/>
  <c r="L15" i="1" a="1"/>
  <c r="K15" i="1" a="1"/>
  <c r="J15" i="1" a="1"/>
  <c r="I15" i="1" a="1"/>
  <c r="H15" i="1" a="1"/>
  <c r="G15" i="1" a="1"/>
  <c r="B16" i="1"/>
  <c r="M80" i="1" l="1" a="1"/>
  <c r="N80" i="1" a="1"/>
  <c r="M62" i="1" a="1"/>
  <c r="N62" i="1" a="1"/>
  <c r="N46" i="1" a="1"/>
  <c r="M46" i="1" a="1"/>
  <c r="M34" i="1" a="1"/>
  <c r="N34" i="1" a="1"/>
  <c r="M15" i="1" a="1"/>
  <c r="N15" i="1" a="1"/>
  <c r="S44" i="1"/>
  <c r="R79" i="1"/>
  <c r="Q79" i="1"/>
  <c r="R61" i="1"/>
  <c r="Q61" i="1"/>
  <c r="S61" i="1" s="1"/>
  <c r="R45" i="1"/>
  <c r="Q45" i="1"/>
  <c r="R33" i="1"/>
  <c r="Q33" i="1"/>
  <c r="R14" i="1"/>
  <c r="Q14" i="1"/>
  <c r="S78" i="1"/>
  <c r="S32" i="1"/>
  <c r="S60" i="1"/>
  <c r="S13" i="1"/>
  <c r="O80" i="1"/>
  <c r="P80" i="1"/>
  <c r="O62" i="1"/>
  <c r="P62" i="1"/>
  <c r="O46" i="1"/>
  <c r="P46" i="1"/>
  <c r="O34" i="1"/>
  <c r="P34" i="1"/>
  <c r="O15" i="1"/>
  <c r="P15" i="1"/>
  <c r="L81" i="1" a="1"/>
  <c r="K81" i="1" a="1"/>
  <c r="J81" i="1" a="1"/>
  <c r="I81" i="1" a="1"/>
  <c r="H81" i="1" a="1"/>
  <c r="G81" i="1" a="1"/>
  <c r="L63" i="1" a="1"/>
  <c r="K63" i="1" a="1"/>
  <c r="J63" i="1" a="1"/>
  <c r="I63" i="1" a="1"/>
  <c r="H63" i="1" a="1"/>
  <c r="G63" i="1" a="1"/>
  <c r="B64" i="1"/>
  <c r="L47" i="1" a="1"/>
  <c r="K47" i="1" a="1"/>
  <c r="J47" i="1" a="1"/>
  <c r="I47" i="1" a="1"/>
  <c r="H47" i="1" a="1"/>
  <c r="G47" i="1" a="1"/>
  <c r="B48" i="1"/>
  <c r="L16" i="1" a="1"/>
  <c r="K16" i="1" a="1"/>
  <c r="J16" i="1" a="1"/>
  <c r="I16" i="1" a="1"/>
  <c r="H16" i="1" a="1"/>
  <c r="G16" i="1" a="1"/>
  <c r="B17" i="1"/>
  <c r="N81" i="1" l="1" a="1"/>
  <c r="M81" i="1" a="1"/>
  <c r="M63" i="1" a="1"/>
  <c r="N63" i="1" a="1"/>
  <c r="N47" i="1" a="1"/>
  <c r="M47" i="1" a="1"/>
  <c r="M16" i="1" a="1"/>
  <c r="N16" i="1" a="1"/>
  <c r="R80" i="1"/>
  <c r="Q80" i="1"/>
  <c r="R62" i="1"/>
  <c r="Q62" i="1"/>
  <c r="R46" i="1"/>
  <c r="S46" i="1" s="1"/>
  <c r="Q46" i="1"/>
  <c r="R34" i="1"/>
  <c r="Q34" i="1"/>
  <c r="R15" i="1"/>
  <c r="Q15" i="1"/>
  <c r="S33" i="1"/>
  <c r="S14" i="1"/>
  <c r="S79" i="1"/>
  <c r="S45" i="1"/>
  <c r="O81" i="1"/>
  <c r="P81" i="1"/>
  <c r="O63" i="1"/>
  <c r="P63" i="1"/>
  <c r="O47" i="1"/>
  <c r="P47" i="1"/>
  <c r="O16" i="1"/>
  <c r="P16" i="1"/>
  <c r="L64" i="1" a="1"/>
  <c r="K64" i="1" a="1"/>
  <c r="J64" i="1" a="1"/>
  <c r="I64" i="1" a="1"/>
  <c r="H64" i="1" a="1"/>
  <c r="G64" i="1" a="1"/>
  <c r="B65" i="1"/>
  <c r="L48" i="1" a="1"/>
  <c r="K48" i="1" a="1"/>
  <c r="J48" i="1" a="1"/>
  <c r="I48" i="1" a="1"/>
  <c r="H48" i="1" a="1"/>
  <c r="G48" i="1" a="1"/>
  <c r="B49" i="1"/>
  <c r="B18" i="1"/>
  <c r="L17" i="1" a="1"/>
  <c r="H17" i="1" a="1"/>
  <c r="G17" i="1" a="1"/>
  <c r="K17" i="1" a="1"/>
  <c r="I17" i="1" a="1"/>
  <c r="J17" i="1" a="1"/>
  <c r="S34" i="1" l="1"/>
  <c r="M64" i="1" a="1"/>
  <c r="N64" i="1" a="1"/>
  <c r="N48" i="1" a="1"/>
  <c r="M48" i="1" a="1"/>
  <c r="M17" i="1" a="1"/>
  <c r="N17" i="1" a="1"/>
  <c r="R81" i="1"/>
  <c r="Q81" i="1"/>
  <c r="R63" i="1"/>
  <c r="Q63" i="1"/>
  <c r="S63" i="1" s="1"/>
  <c r="R47" i="1"/>
  <c r="Q47" i="1"/>
  <c r="R16" i="1"/>
  <c r="Q16" i="1"/>
  <c r="S62" i="1"/>
  <c r="S15" i="1"/>
  <c r="S80" i="1"/>
  <c r="O64" i="1"/>
  <c r="P64" i="1"/>
  <c r="O48" i="1"/>
  <c r="P48" i="1"/>
  <c r="O17" i="1"/>
  <c r="P17" i="1"/>
  <c r="L65" i="1" a="1"/>
  <c r="K65" i="1" a="1"/>
  <c r="J65" i="1" a="1"/>
  <c r="I65" i="1" a="1"/>
  <c r="H65" i="1" a="1"/>
  <c r="G65" i="1" a="1"/>
  <c r="B66" i="1"/>
  <c r="L49" i="1" a="1"/>
  <c r="K49" i="1" a="1"/>
  <c r="J49" i="1" a="1"/>
  <c r="I49" i="1" a="1"/>
  <c r="H49" i="1" a="1"/>
  <c r="G49" i="1" a="1"/>
  <c r="B50" i="1"/>
  <c r="L18" i="1" a="1"/>
  <c r="J18" i="1" a="1"/>
  <c r="I18" i="1" a="1"/>
  <c r="H18" i="1" a="1"/>
  <c r="K18" i="1" a="1"/>
  <c r="G18" i="1" a="1"/>
  <c r="S16" i="1" l="1"/>
  <c r="M65" i="1" a="1"/>
  <c r="N65" i="1" a="1"/>
  <c r="M49" i="1" a="1"/>
  <c r="N49" i="1" a="1"/>
  <c r="M18" i="1" a="1"/>
  <c r="N18" i="1" a="1"/>
  <c r="R64" i="1"/>
  <c r="Q64" i="1"/>
  <c r="R48" i="1"/>
  <c r="Q48" i="1"/>
  <c r="R17" i="1"/>
  <c r="Q17" i="1"/>
  <c r="S81" i="1"/>
  <c r="S47" i="1"/>
  <c r="O65" i="1"/>
  <c r="P65" i="1"/>
  <c r="O49" i="1"/>
  <c r="P49" i="1"/>
  <c r="O18" i="1"/>
  <c r="P18" i="1"/>
  <c r="L66" i="1" a="1"/>
  <c r="K66" i="1" a="1"/>
  <c r="J66" i="1" a="1"/>
  <c r="I66" i="1" a="1"/>
  <c r="H66" i="1" a="1"/>
  <c r="G66" i="1" a="1"/>
  <c r="L50" i="1" a="1"/>
  <c r="K50" i="1" a="1"/>
  <c r="J50" i="1" a="1"/>
  <c r="I50" i="1" a="1"/>
  <c r="H50" i="1" a="1"/>
  <c r="G50" i="1" a="1"/>
  <c r="S64" i="1" l="1"/>
  <c r="M66" i="1" a="1"/>
  <c r="N66" i="1" a="1"/>
  <c r="N50" i="1" a="1"/>
  <c r="M50" i="1" a="1"/>
  <c r="R65" i="1"/>
  <c r="Q65" i="1"/>
  <c r="R49" i="1"/>
  <c r="Q49" i="1"/>
  <c r="R18" i="1"/>
  <c r="Q18" i="1"/>
  <c r="S48" i="1"/>
  <c r="S17" i="1"/>
  <c r="O66" i="1"/>
  <c r="P66" i="1"/>
  <c r="O50" i="1"/>
  <c r="P50" i="1"/>
  <c r="S65" i="1" l="1"/>
  <c r="S49" i="1"/>
  <c r="R66" i="1"/>
  <c r="Q66" i="1"/>
  <c r="R50" i="1"/>
  <c r="Q50" i="1"/>
  <c r="S18" i="1"/>
  <c r="W3" i="1" l="1"/>
  <c r="X3" i="1"/>
  <c r="S50" i="1"/>
  <c r="V3" i="1" s="1"/>
  <c r="Y3" i="1" s="1"/>
  <c r="S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<sst xmlns="http://schemas.openxmlformats.org/spreadsheetml/2006/main" count="24" uniqueCount="24">
  <si>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Week</t>
  </si>
  <si>
    <t>Home</t>
  </si>
  <si>
    <t>Away</t>
  </si>
  <si>
    <t>Prediction</t>
  </si>
  <si>
    <t>Pred Spread</t>
  </si>
  <si>
    <t>Book Spread</t>
  </si>
  <si>
    <t>Postseason</t>
  </si>
  <si>
    <t>Season</t>
  </si>
  <si>
    <t>file index</t>
  </si>
  <si>
    <t>row offset</t>
  </si>
  <si>
    <t>Versus Book</t>
  </si>
  <si>
    <t>game count</t>
  </si>
  <si>
    <t>Home Score</t>
  </si>
  <si>
    <t>Away Score</t>
  </si>
  <si>
    <t>Spread Pick</t>
  </si>
  <si>
    <t>Home Score wPts</t>
  </si>
  <si>
    <t>Away Score wPts</t>
  </si>
  <si>
    <t>Book Favorite</t>
  </si>
  <si>
    <t>Spread Pick Win</t>
  </si>
  <si>
    <t>Win</t>
  </si>
  <si>
    <t>Push</t>
  </si>
  <si>
    <t>Lose</t>
  </si>
  <si>
    <t>Against the Spread</t>
  </si>
  <si>
    <t>Win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</si>
</sst>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Continuous"/>
    </xf>
    <xf numFmtId="0" fontId="1" fillId="4" borderId="3" xfId="0" applyFont="1" applyFill="1" applyBorder="1" applyAlignment="1">
      <alignment horizontal="centerContinuous"/>
    </xf>
    <xf numFmtId="0" fontId="1" fillId="4" borderId="4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nfl-model-site\data\nfl_historical_matchup_data.csv" TargetMode="External"/><Relationship Id="rId1" Type="http://schemas.openxmlformats.org/officeDocument/2006/relationships/externalLinkPath" Target="nfl_historical_matchup_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fl_historical_matchup_data"/>
    </sheetNames>
    <sheetDataSet>
      <sheetData sheetId="0">
        <row r="1">
          <cell r="B1" t="str">
            <v>season</v>
          </cell>
          <cell r="C1" t="str">
            <v>week</v>
          </cell>
          <cell r="E1" t="str">
            <v>team_abbr</v>
          </cell>
          <cell r="I1" t="str">
            <v>team_score</v>
          </cell>
          <cell r="J1" t="str">
            <v>opp_score</v>
          </cell>
          <cell r="L1" t="str">
            <v>postseason_ind</v>
          </cell>
        </row>
        <row r="2">
          <cell r="B2">
            <v>2018</v>
          </cell>
          <cell r="C2">
            <v>1</v>
          </cell>
          <cell r="E2" t="str">
            <v>NE</v>
          </cell>
          <cell r="I2">
            <v>27</v>
          </cell>
          <cell r="J2">
            <v>20</v>
          </cell>
          <cell r="L2">
            <v>0</v>
          </cell>
        </row>
        <row r="3">
          <cell r="B3">
            <v>2018</v>
          </cell>
          <cell r="C3">
            <v>2</v>
          </cell>
          <cell r="E3" t="str">
            <v>NE</v>
          </cell>
          <cell r="I3">
            <v>20</v>
          </cell>
          <cell r="J3">
            <v>31</v>
          </cell>
          <cell r="L3">
            <v>0</v>
          </cell>
        </row>
        <row r="4">
          <cell r="B4">
            <v>2018</v>
          </cell>
          <cell r="C4">
            <v>3</v>
          </cell>
          <cell r="E4" t="str">
            <v>NE</v>
          </cell>
          <cell r="I4">
            <v>10</v>
          </cell>
          <cell r="J4">
            <v>26</v>
          </cell>
          <cell r="L4">
            <v>0</v>
          </cell>
        </row>
        <row r="5">
          <cell r="B5">
            <v>2018</v>
          </cell>
          <cell r="C5">
            <v>4</v>
          </cell>
          <cell r="E5" t="str">
            <v>NE</v>
          </cell>
          <cell r="I5">
            <v>38</v>
          </cell>
          <cell r="J5">
            <v>7</v>
          </cell>
          <cell r="L5">
            <v>0</v>
          </cell>
        </row>
        <row r="6">
          <cell r="B6">
            <v>2018</v>
          </cell>
          <cell r="C6">
            <v>5</v>
          </cell>
          <cell r="E6" t="str">
            <v>NE</v>
          </cell>
          <cell r="I6">
            <v>38</v>
          </cell>
          <cell r="J6">
            <v>24</v>
          </cell>
          <cell r="L6">
            <v>0</v>
          </cell>
        </row>
        <row r="7">
          <cell r="B7">
            <v>2018</v>
          </cell>
          <cell r="C7">
            <v>6</v>
          </cell>
          <cell r="E7" t="str">
            <v>NE</v>
          </cell>
          <cell r="I7">
            <v>43</v>
          </cell>
          <cell r="J7">
            <v>40</v>
          </cell>
          <cell r="L7">
            <v>0</v>
          </cell>
        </row>
        <row r="8">
          <cell r="B8">
            <v>2018</v>
          </cell>
          <cell r="C8">
            <v>7</v>
          </cell>
          <cell r="E8" t="str">
            <v>NE</v>
          </cell>
          <cell r="I8">
            <v>38</v>
          </cell>
          <cell r="J8">
            <v>31</v>
          </cell>
          <cell r="L8">
            <v>0</v>
          </cell>
        </row>
        <row r="9">
          <cell r="B9">
            <v>2018</v>
          </cell>
          <cell r="C9">
            <v>8</v>
          </cell>
          <cell r="E9" t="str">
            <v>NE</v>
          </cell>
          <cell r="I9">
            <v>25</v>
          </cell>
          <cell r="J9">
            <v>6</v>
          </cell>
          <cell r="L9">
            <v>0</v>
          </cell>
        </row>
        <row r="10">
          <cell r="B10">
            <v>2018</v>
          </cell>
          <cell r="C10">
            <v>9</v>
          </cell>
          <cell r="E10" t="str">
            <v>NE</v>
          </cell>
          <cell r="I10">
            <v>31</v>
          </cell>
          <cell r="J10">
            <v>17</v>
          </cell>
          <cell r="L10">
            <v>0</v>
          </cell>
        </row>
        <row r="11">
          <cell r="B11">
            <v>2018</v>
          </cell>
          <cell r="C11">
            <v>10</v>
          </cell>
          <cell r="E11" t="str">
            <v>NE</v>
          </cell>
          <cell r="I11">
            <v>10</v>
          </cell>
          <cell r="J11">
            <v>34</v>
          </cell>
          <cell r="L11">
            <v>0</v>
          </cell>
        </row>
        <row r="12">
          <cell r="B12">
            <v>2018</v>
          </cell>
          <cell r="C12">
            <v>12</v>
          </cell>
          <cell r="E12" t="str">
            <v>NE</v>
          </cell>
          <cell r="I12">
            <v>27</v>
          </cell>
          <cell r="J12">
            <v>13</v>
          </cell>
          <cell r="L12">
            <v>0</v>
          </cell>
        </row>
        <row r="13">
          <cell r="B13">
            <v>2018</v>
          </cell>
          <cell r="C13">
            <v>13</v>
          </cell>
          <cell r="E13" t="str">
            <v>NE</v>
          </cell>
          <cell r="I13">
            <v>24</v>
          </cell>
          <cell r="J13">
            <v>10</v>
          </cell>
          <cell r="L13">
            <v>0</v>
          </cell>
        </row>
        <row r="14">
          <cell r="B14">
            <v>2018</v>
          </cell>
          <cell r="C14">
            <v>14</v>
          </cell>
          <cell r="E14" t="str">
            <v>NE</v>
          </cell>
          <cell r="I14">
            <v>33</v>
          </cell>
          <cell r="J14">
            <v>34</v>
          </cell>
          <cell r="L14">
            <v>0</v>
          </cell>
        </row>
        <row r="15">
          <cell r="B15">
            <v>2018</v>
          </cell>
          <cell r="C15">
            <v>15</v>
          </cell>
          <cell r="E15" t="str">
            <v>NE</v>
          </cell>
          <cell r="I15">
            <v>10</v>
          </cell>
          <cell r="J15">
            <v>17</v>
          </cell>
          <cell r="L15">
            <v>0</v>
          </cell>
        </row>
        <row r="16">
          <cell r="B16">
            <v>2018</v>
          </cell>
          <cell r="C16">
            <v>16</v>
          </cell>
          <cell r="E16" t="str">
            <v>NE</v>
          </cell>
          <cell r="I16">
            <v>24</v>
          </cell>
          <cell r="J16">
            <v>12</v>
          </cell>
          <cell r="L16">
            <v>0</v>
          </cell>
        </row>
        <row r="17">
          <cell r="B17">
            <v>2018</v>
          </cell>
          <cell r="C17">
            <v>17</v>
          </cell>
          <cell r="E17" t="str">
            <v>NE</v>
          </cell>
          <cell r="I17">
            <v>38</v>
          </cell>
          <cell r="J17">
            <v>3</v>
          </cell>
          <cell r="L17">
            <v>0</v>
          </cell>
        </row>
        <row r="18">
          <cell r="B18">
            <v>2018</v>
          </cell>
          <cell r="C18">
            <v>2</v>
          </cell>
          <cell r="E18" t="str">
            <v>NE</v>
          </cell>
          <cell r="I18">
            <v>41</v>
          </cell>
          <cell r="J18">
            <v>28</v>
          </cell>
          <cell r="L18">
            <v>1</v>
          </cell>
        </row>
        <row r="19">
          <cell r="B19">
            <v>2018</v>
          </cell>
          <cell r="C19">
            <v>3</v>
          </cell>
          <cell r="E19" t="str">
            <v>NE</v>
          </cell>
          <cell r="I19">
            <v>37</v>
          </cell>
          <cell r="J19">
            <v>31</v>
          </cell>
          <cell r="L19">
            <v>1</v>
          </cell>
        </row>
        <row r="20">
          <cell r="B20">
            <v>2018</v>
          </cell>
          <cell r="C20">
            <v>5</v>
          </cell>
          <cell r="E20" t="str">
            <v>NE</v>
          </cell>
          <cell r="I20">
            <v>13</v>
          </cell>
          <cell r="J20">
            <v>3</v>
          </cell>
          <cell r="L20">
            <v>1</v>
          </cell>
        </row>
        <row r="21">
          <cell r="B21">
            <v>2019</v>
          </cell>
          <cell r="C21">
            <v>1</v>
          </cell>
          <cell r="E21" t="str">
            <v>NE</v>
          </cell>
          <cell r="I21">
            <v>33</v>
          </cell>
          <cell r="J21">
            <v>3</v>
          </cell>
          <cell r="L21">
            <v>0</v>
          </cell>
        </row>
        <row r="22">
          <cell r="B22">
            <v>2019</v>
          </cell>
          <cell r="C22">
            <v>2</v>
          </cell>
          <cell r="E22" t="str">
            <v>NE</v>
          </cell>
          <cell r="I22">
            <v>43</v>
          </cell>
          <cell r="J22">
            <v>0</v>
          </cell>
          <cell r="L22">
            <v>0</v>
          </cell>
        </row>
        <row r="23">
          <cell r="B23">
            <v>2019</v>
          </cell>
          <cell r="C23">
            <v>3</v>
          </cell>
          <cell r="E23" t="str">
            <v>NE</v>
          </cell>
          <cell r="I23">
            <v>30</v>
          </cell>
          <cell r="J23">
            <v>14</v>
          </cell>
          <cell r="L23">
            <v>0</v>
          </cell>
        </row>
        <row r="24">
          <cell r="B24">
            <v>2019</v>
          </cell>
          <cell r="C24">
            <v>4</v>
          </cell>
          <cell r="E24" t="str">
            <v>NE</v>
          </cell>
          <cell r="I24">
            <v>16</v>
          </cell>
          <cell r="J24">
            <v>10</v>
          </cell>
          <cell r="L24">
            <v>0</v>
          </cell>
        </row>
        <row r="25">
          <cell r="B25">
            <v>2019</v>
          </cell>
          <cell r="C25">
            <v>5</v>
          </cell>
          <cell r="E25" t="str">
            <v>NE</v>
          </cell>
          <cell r="I25">
            <v>33</v>
          </cell>
          <cell r="J25">
            <v>7</v>
          </cell>
          <cell r="L25">
            <v>0</v>
          </cell>
        </row>
        <row r="26">
          <cell r="B26">
            <v>2019</v>
          </cell>
          <cell r="C26">
            <v>6</v>
          </cell>
          <cell r="E26" t="str">
            <v>NE</v>
          </cell>
          <cell r="I26">
            <v>35</v>
          </cell>
          <cell r="J26">
            <v>14</v>
          </cell>
          <cell r="L26">
            <v>0</v>
          </cell>
        </row>
        <row r="27">
          <cell r="B27">
            <v>2019</v>
          </cell>
          <cell r="C27">
            <v>7</v>
          </cell>
          <cell r="E27" t="str">
            <v>NE</v>
          </cell>
          <cell r="I27">
            <v>33</v>
          </cell>
          <cell r="J27">
            <v>0</v>
          </cell>
          <cell r="L27">
            <v>0</v>
          </cell>
        </row>
        <row r="28">
          <cell r="B28">
            <v>2019</v>
          </cell>
          <cell r="C28">
            <v>8</v>
          </cell>
          <cell r="E28" t="str">
            <v>NE</v>
          </cell>
          <cell r="I28">
            <v>27</v>
          </cell>
          <cell r="J28">
            <v>13</v>
          </cell>
          <cell r="L28">
            <v>0</v>
          </cell>
        </row>
        <row r="29">
          <cell r="B29">
            <v>2019</v>
          </cell>
          <cell r="C29">
            <v>9</v>
          </cell>
          <cell r="E29" t="str">
            <v>NE</v>
          </cell>
          <cell r="I29">
            <v>20</v>
          </cell>
          <cell r="J29">
            <v>37</v>
          </cell>
          <cell r="L29">
            <v>0</v>
          </cell>
        </row>
        <row r="30">
          <cell r="B30">
            <v>2019</v>
          </cell>
          <cell r="C30">
            <v>11</v>
          </cell>
          <cell r="E30" t="str">
            <v>NE</v>
          </cell>
          <cell r="I30">
            <v>17</v>
          </cell>
          <cell r="J30">
            <v>10</v>
          </cell>
          <cell r="L30">
            <v>0</v>
          </cell>
        </row>
        <row r="31">
          <cell r="B31">
            <v>2019</v>
          </cell>
          <cell r="C31">
            <v>12</v>
          </cell>
          <cell r="E31" t="str">
            <v>NE</v>
          </cell>
          <cell r="I31">
            <v>13</v>
          </cell>
          <cell r="J31">
            <v>9</v>
          </cell>
          <cell r="L31">
            <v>0</v>
          </cell>
        </row>
        <row r="32">
          <cell r="B32">
            <v>2019</v>
          </cell>
          <cell r="C32">
            <v>13</v>
          </cell>
          <cell r="E32" t="str">
            <v>NE</v>
          </cell>
          <cell r="I32">
            <v>22</v>
          </cell>
          <cell r="J32">
            <v>28</v>
          </cell>
          <cell r="L32">
            <v>0</v>
          </cell>
        </row>
        <row r="33">
          <cell r="B33">
            <v>2019</v>
          </cell>
          <cell r="C33">
            <v>14</v>
          </cell>
          <cell r="E33" t="str">
            <v>NE</v>
          </cell>
          <cell r="I33">
            <v>16</v>
          </cell>
          <cell r="J33">
            <v>23</v>
          </cell>
          <cell r="L33">
            <v>0</v>
          </cell>
        </row>
        <row r="34">
          <cell r="B34">
            <v>2019</v>
          </cell>
          <cell r="C34">
            <v>15</v>
          </cell>
          <cell r="E34" t="str">
            <v>NE</v>
          </cell>
          <cell r="I34">
            <v>34</v>
          </cell>
          <cell r="J34">
            <v>13</v>
          </cell>
          <cell r="L34">
            <v>0</v>
          </cell>
        </row>
        <row r="35">
          <cell r="B35">
            <v>2019</v>
          </cell>
          <cell r="C35">
            <v>16</v>
          </cell>
          <cell r="E35" t="str">
            <v>NE</v>
          </cell>
          <cell r="I35">
            <v>24</v>
          </cell>
          <cell r="J35">
            <v>17</v>
          </cell>
          <cell r="L35">
            <v>0</v>
          </cell>
        </row>
        <row r="36">
          <cell r="B36">
            <v>2019</v>
          </cell>
          <cell r="C36">
            <v>17</v>
          </cell>
          <cell r="E36" t="str">
            <v>NE</v>
          </cell>
          <cell r="I36">
            <v>24</v>
          </cell>
          <cell r="J36">
            <v>27</v>
          </cell>
          <cell r="L36">
            <v>0</v>
          </cell>
        </row>
        <row r="37">
          <cell r="B37">
            <v>2019</v>
          </cell>
          <cell r="C37">
            <v>1</v>
          </cell>
          <cell r="E37" t="str">
            <v>NE</v>
          </cell>
          <cell r="I37">
            <v>13</v>
          </cell>
          <cell r="J37">
            <v>20</v>
          </cell>
          <cell r="L37">
            <v>1</v>
          </cell>
        </row>
        <row r="38">
          <cell r="B38">
            <v>2020</v>
          </cell>
          <cell r="C38">
            <v>1</v>
          </cell>
          <cell r="E38" t="str">
            <v>NE</v>
          </cell>
          <cell r="I38">
            <v>21</v>
          </cell>
          <cell r="J38">
            <v>11</v>
          </cell>
          <cell r="L38">
            <v>0</v>
          </cell>
        </row>
        <row r="39">
          <cell r="B39">
            <v>2020</v>
          </cell>
          <cell r="C39">
            <v>2</v>
          </cell>
          <cell r="E39" t="str">
            <v>NE</v>
          </cell>
          <cell r="I39">
            <v>30</v>
          </cell>
          <cell r="J39">
            <v>35</v>
          </cell>
          <cell r="L39">
            <v>0</v>
          </cell>
        </row>
        <row r="40">
          <cell r="B40">
            <v>2020</v>
          </cell>
          <cell r="C40">
            <v>3</v>
          </cell>
          <cell r="E40" t="str">
            <v>NE</v>
          </cell>
          <cell r="I40">
            <v>36</v>
          </cell>
          <cell r="J40">
            <v>20</v>
          </cell>
          <cell r="L40">
            <v>0</v>
          </cell>
        </row>
        <row r="41">
          <cell r="B41">
            <v>2020</v>
          </cell>
          <cell r="C41">
            <v>4</v>
          </cell>
          <cell r="E41" t="str">
            <v>NE</v>
          </cell>
          <cell r="I41">
            <v>10</v>
          </cell>
          <cell r="J41">
            <v>26</v>
          </cell>
          <cell r="L41">
            <v>0</v>
          </cell>
        </row>
        <row r="42">
          <cell r="B42">
            <v>2020</v>
          </cell>
          <cell r="C42">
            <v>6</v>
          </cell>
          <cell r="E42" t="str">
            <v>NE</v>
          </cell>
          <cell r="I42">
            <v>12</v>
          </cell>
          <cell r="J42">
            <v>18</v>
          </cell>
          <cell r="L42">
            <v>0</v>
          </cell>
        </row>
        <row r="43">
          <cell r="B43">
            <v>2020</v>
          </cell>
          <cell r="C43">
            <v>7</v>
          </cell>
          <cell r="E43" t="str">
            <v>NE</v>
          </cell>
          <cell r="I43">
            <v>6</v>
          </cell>
          <cell r="J43">
            <v>33</v>
          </cell>
          <cell r="L43">
            <v>0</v>
          </cell>
        </row>
        <row r="44">
          <cell r="B44">
            <v>2020</v>
          </cell>
          <cell r="C44">
            <v>8</v>
          </cell>
          <cell r="E44" t="str">
            <v>NE</v>
          </cell>
          <cell r="I44">
            <v>21</v>
          </cell>
          <cell r="J44">
            <v>24</v>
          </cell>
          <cell r="L44">
            <v>0</v>
          </cell>
        </row>
        <row r="45">
          <cell r="B45">
            <v>2020</v>
          </cell>
          <cell r="C45">
            <v>9</v>
          </cell>
          <cell r="E45" t="str">
            <v>NE</v>
          </cell>
          <cell r="I45">
            <v>30</v>
          </cell>
          <cell r="J45">
            <v>27</v>
          </cell>
          <cell r="L45">
            <v>0</v>
          </cell>
        </row>
        <row r="46">
          <cell r="B46">
            <v>2020</v>
          </cell>
          <cell r="C46">
            <v>10</v>
          </cell>
          <cell r="E46" t="str">
            <v>NE</v>
          </cell>
          <cell r="I46">
            <v>23</v>
          </cell>
          <cell r="J46">
            <v>17</v>
          </cell>
          <cell r="L46">
            <v>0</v>
          </cell>
        </row>
        <row r="47">
          <cell r="B47">
            <v>2020</v>
          </cell>
          <cell r="C47">
            <v>11</v>
          </cell>
          <cell r="E47" t="str">
            <v>NE</v>
          </cell>
          <cell r="I47">
            <v>20</v>
          </cell>
          <cell r="J47">
            <v>27</v>
          </cell>
          <cell r="L47">
            <v>0</v>
          </cell>
        </row>
        <row r="48">
          <cell r="B48">
            <v>2020</v>
          </cell>
          <cell r="C48">
            <v>12</v>
          </cell>
          <cell r="E48" t="str">
            <v>NE</v>
          </cell>
          <cell r="I48">
            <v>20</v>
          </cell>
          <cell r="J48">
            <v>17</v>
          </cell>
          <cell r="L48">
            <v>0</v>
          </cell>
        </row>
        <row r="49">
          <cell r="B49">
            <v>2020</v>
          </cell>
          <cell r="C49">
            <v>13</v>
          </cell>
          <cell r="E49" t="str">
            <v>NE</v>
          </cell>
          <cell r="I49">
            <v>45</v>
          </cell>
          <cell r="J49">
            <v>0</v>
          </cell>
          <cell r="L49">
            <v>0</v>
          </cell>
        </row>
        <row r="50">
          <cell r="B50">
            <v>2020</v>
          </cell>
          <cell r="C50">
            <v>14</v>
          </cell>
          <cell r="E50" t="str">
            <v>NE</v>
          </cell>
          <cell r="I50">
            <v>3</v>
          </cell>
          <cell r="J50">
            <v>24</v>
          </cell>
          <cell r="L50">
            <v>0</v>
          </cell>
        </row>
        <row r="51">
          <cell r="B51">
            <v>2020</v>
          </cell>
          <cell r="C51">
            <v>15</v>
          </cell>
          <cell r="E51" t="str">
            <v>NE</v>
          </cell>
          <cell r="I51">
            <v>12</v>
          </cell>
          <cell r="J51">
            <v>22</v>
          </cell>
          <cell r="L51">
            <v>0</v>
          </cell>
        </row>
        <row r="52">
          <cell r="B52">
            <v>2020</v>
          </cell>
          <cell r="C52">
            <v>16</v>
          </cell>
          <cell r="E52" t="str">
            <v>NE</v>
          </cell>
          <cell r="I52">
            <v>9</v>
          </cell>
          <cell r="J52">
            <v>38</v>
          </cell>
          <cell r="L52">
            <v>0</v>
          </cell>
        </row>
        <row r="53">
          <cell r="B53">
            <v>2020</v>
          </cell>
          <cell r="C53">
            <v>17</v>
          </cell>
          <cell r="E53" t="str">
            <v>NE</v>
          </cell>
          <cell r="I53">
            <v>28</v>
          </cell>
          <cell r="J53">
            <v>14</v>
          </cell>
          <cell r="L53">
            <v>0</v>
          </cell>
        </row>
        <row r="54">
          <cell r="B54">
            <v>2021</v>
          </cell>
          <cell r="C54">
            <v>1</v>
          </cell>
          <cell r="E54" t="str">
            <v>NE</v>
          </cell>
          <cell r="I54">
            <v>16</v>
          </cell>
          <cell r="J54">
            <v>17</v>
          </cell>
          <cell r="L54">
            <v>0</v>
          </cell>
        </row>
        <row r="55">
          <cell r="B55">
            <v>2021</v>
          </cell>
          <cell r="C55">
            <v>2</v>
          </cell>
          <cell r="E55" t="str">
            <v>NE</v>
          </cell>
          <cell r="I55">
            <v>25</v>
          </cell>
          <cell r="J55">
            <v>6</v>
          </cell>
          <cell r="L55">
            <v>0</v>
          </cell>
        </row>
        <row r="56">
          <cell r="B56">
            <v>2021</v>
          </cell>
          <cell r="C56">
            <v>3</v>
          </cell>
          <cell r="E56" t="str">
            <v>NE</v>
          </cell>
          <cell r="I56">
            <v>13</v>
          </cell>
          <cell r="J56">
            <v>28</v>
          </cell>
          <cell r="L56">
            <v>0</v>
          </cell>
        </row>
        <row r="57">
          <cell r="B57">
            <v>2021</v>
          </cell>
          <cell r="C57">
            <v>4</v>
          </cell>
          <cell r="E57" t="str">
            <v>NE</v>
          </cell>
          <cell r="I57">
            <v>17</v>
          </cell>
          <cell r="J57">
            <v>19</v>
          </cell>
          <cell r="L57">
            <v>0</v>
          </cell>
        </row>
        <row r="58">
          <cell r="B58">
            <v>2021</v>
          </cell>
          <cell r="C58">
            <v>5</v>
          </cell>
          <cell r="E58" t="str">
            <v>NE</v>
          </cell>
          <cell r="I58">
            <v>25</v>
          </cell>
          <cell r="J58">
            <v>22</v>
          </cell>
          <cell r="L58">
            <v>0</v>
          </cell>
        </row>
        <row r="59">
          <cell r="B59">
            <v>2021</v>
          </cell>
          <cell r="C59">
            <v>6</v>
          </cell>
          <cell r="E59" t="str">
            <v>NE</v>
          </cell>
          <cell r="I59">
            <v>29</v>
          </cell>
          <cell r="J59">
            <v>35</v>
          </cell>
          <cell r="L59">
            <v>0</v>
          </cell>
        </row>
        <row r="60">
          <cell r="B60">
            <v>2021</v>
          </cell>
          <cell r="C60">
            <v>7</v>
          </cell>
          <cell r="E60" t="str">
            <v>NE</v>
          </cell>
          <cell r="I60">
            <v>54</v>
          </cell>
          <cell r="J60">
            <v>13</v>
          </cell>
          <cell r="L60">
            <v>0</v>
          </cell>
        </row>
        <row r="61">
          <cell r="B61">
            <v>2021</v>
          </cell>
          <cell r="C61">
            <v>8</v>
          </cell>
          <cell r="E61" t="str">
            <v>NE</v>
          </cell>
          <cell r="I61">
            <v>27</v>
          </cell>
          <cell r="J61">
            <v>24</v>
          </cell>
          <cell r="L61">
            <v>0</v>
          </cell>
        </row>
        <row r="62">
          <cell r="B62">
            <v>2021</v>
          </cell>
          <cell r="C62">
            <v>9</v>
          </cell>
          <cell r="E62" t="str">
            <v>NE</v>
          </cell>
          <cell r="I62">
            <v>24</v>
          </cell>
          <cell r="J62">
            <v>6</v>
          </cell>
          <cell r="L62">
            <v>0</v>
          </cell>
        </row>
        <row r="63">
          <cell r="B63">
            <v>2021</v>
          </cell>
          <cell r="C63">
            <v>10</v>
          </cell>
          <cell r="E63" t="str">
            <v>NE</v>
          </cell>
          <cell r="I63">
            <v>45</v>
          </cell>
          <cell r="J63">
            <v>7</v>
          </cell>
          <cell r="L63">
            <v>0</v>
          </cell>
        </row>
        <row r="64">
          <cell r="B64">
            <v>2021</v>
          </cell>
          <cell r="C64">
            <v>11</v>
          </cell>
          <cell r="E64" t="str">
            <v>NE</v>
          </cell>
          <cell r="I64">
            <v>25</v>
          </cell>
          <cell r="J64">
            <v>0</v>
          </cell>
          <cell r="L64">
            <v>0</v>
          </cell>
        </row>
        <row r="65">
          <cell r="B65">
            <v>2021</v>
          </cell>
          <cell r="C65">
            <v>12</v>
          </cell>
          <cell r="E65" t="str">
            <v>NE</v>
          </cell>
          <cell r="I65">
            <v>36</v>
          </cell>
          <cell r="J65">
            <v>13</v>
          </cell>
          <cell r="L65">
            <v>0</v>
          </cell>
        </row>
        <row r="66">
          <cell r="B66">
            <v>2021</v>
          </cell>
          <cell r="C66">
            <v>13</v>
          </cell>
          <cell r="E66" t="str">
            <v>NE</v>
          </cell>
          <cell r="I66">
            <v>14</v>
          </cell>
          <cell r="J66">
            <v>10</v>
          </cell>
          <cell r="L66">
            <v>0</v>
          </cell>
        </row>
        <row r="67">
          <cell r="B67">
            <v>2021</v>
          </cell>
          <cell r="C67">
            <v>15</v>
          </cell>
          <cell r="E67" t="str">
            <v>NE</v>
          </cell>
          <cell r="I67">
            <v>17</v>
          </cell>
          <cell r="J67">
            <v>27</v>
          </cell>
          <cell r="L67">
            <v>0</v>
          </cell>
        </row>
        <row r="68">
          <cell r="B68">
            <v>2021</v>
          </cell>
          <cell r="C68">
            <v>16</v>
          </cell>
          <cell r="E68" t="str">
            <v>NE</v>
          </cell>
          <cell r="I68">
            <v>21</v>
          </cell>
          <cell r="J68">
            <v>33</v>
          </cell>
          <cell r="L68">
            <v>0</v>
          </cell>
        </row>
        <row r="69">
          <cell r="B69">
            <v>2021</v>
          </cell>
          <cell r="C69">
            <v>17</v>
          </cell>
          <cell r="E69" t="str">
            <v>NE</v>
          </cell>
          <cell r="I69">
            <v>50</v>
          </cell>
          <cell r="J69">
            <v>10</v>
          </cell>
          <cell r="L69">
            <v>0</v>
          </cell>
        </row>
        <row r="70">
          <cell r="B70">
            <v>2021</v>
          </cell>
          <cell r="C70">
            <v>18</v>
          </cell>
          <cell r="E70" t="str">
            <v>NE</v>
          </cell>
          <cell r="I70">
            <v>24</v>
          </cell>
          <cell r="J70">
            <v>33</v>
          </cell>
          <cell r="L70">
            <v>0</v>
          </cell>
        </row>
        <row r="71">
          <cell r="B71">
            <v>2021</v>
          </cell>
          <cell r="C71">
            <v>1</v>
          </cell>
          <cell r="E71" t="str">
            <v>NE</v>
          </cell>
          <cell r="I71">
            <v>17</v>
          </cell>
          <cell r="J71">
            <v>47</v>
          </cell>
          <cell r="L71">
            <v>1</v>
          </cell>
        </row>
        <row r="72">
          <cell r="B72">
            <v>2022</v>
          </cell>
          <cell r="C72">
            <v>1</v>
          </cell>
          <cell r="E72" t="str">
            <v>NE</v>
          </cell>
          <cell r="I72">
            <v>7</v>
          </cell>
          <cell r="J72">
            <v>20</v>
          </cell>
          <cell r="L72">
            <v>0</v>
          </cell>
        </row>
        <row r="73">
          <cell r="B73">
            <v>2022</v>
          </cell>
          <cell r="C73">
            <v>2</v>
          </cell>
          <cell r="E73" t="str">
            <v>NE</v>
          </cell>
          <cell r="I73">
            <v>17</v>
          </cell>
          <cell r="J73">
            <v>14</v>
          </cell>
          <cell r="L73">
            <v>0</v>
          </cell>
        </row>
        <row r="74">
          <cell r="B74">
            <v>2022</v>
          </cell>
          <cell r="C74">
            <v>3</v>
          </cell>
          <cell r="E74" t="str">
            <v>NE</v>
          </cell>
          <cell r="I74">
            <v>26</v>
          </cell>
          <cell r="J74">
            <v>37</v>
          </cell>
          <cell r="L74">
            <v>0</v>
          </cell>
        </row>
        <row r="75">
          <cell r="B75">
            <v>2022</v>
          </cell>
          <cell r="C75">
            <v>4</v>
          </cell>
          <cell r="E75" t="str">
            <v>NE</v>
          </cell>
          <cell r="I75">
            <v>24</v>
          </cell>
          <cell r="J75">
            <v>27</v>
          </cell>
          <cell r="L75">
            <v>0</v>
          </cell>
        </row>
        <row r="76">
          <cell r="B76">
            <v>2022</v>
          </cell>
          <cell r="C76">
            <v>5</v>
          </cell>
          <cell r="E76" t="str">
            <v>NE</v>
          </cell>
          <cell r="I76">
            <v>29</v>
          </cell>
          <cell r="J76">
            <v>0</v>
          </cell>
          <cell r="L76">
            <v>0</v>
          </cell>
        </row>
        <row r="77">
          <cell r="B77">
            <v>2022</v>
          </cell>
          <cell r="C77">
            <v>6</v>
          </cell>
          <cell r="E77" t="str">
            <v>NE</v>
          </cell>
          <cell r="I77">
            <v>38</v>
          </cell>
          <cell r="J77">
            <v>15</v>
          </cell>
          <cell r="L77">
            <v>0</v>
          </cell>
        </row>
        <row r="78">
          <cell r="B78">
            <v>2022</v>
          </cell>
          <cell r="C78">
            <v>7</v>
          </cell>
          <cell r="E78" t="str">
            <v>NE</v>
          </cell>
          <cell r="I78">
            <v>14</v>
          </cell>
          <cell r="J78">
            <v>33</v>
          </cell>
          <cell r="L78">
            <v>0</v>
          </cell>
        </row>
        <row r="79">
          <cell r="B79">
            <v>2022</v>
          </cell>
          <cell r="C79">
            <v>8</v>
          </cell>
          <cell r="E79" t="str">
            <v>NE</v>
          </cell>
          <cell r="I79">
            <v>22</v>
          </cell>
          <cell r="J79">
            <v>17</v>
          </cell>
          <cell r="L79">
            <v>0</v>
          </cell>
        </row>
        <row r="80">
          <cell r="B80">
            <v>2022</v>
          </cell>
          <cell r="C80">
            <v>9</v>
          </cell>
          <cell r="E80" t="str">
            <v>NE</v>
          </cell>
          <cell r="I80">
            <v>26</v>
          </cell>
          <cell r="J80">
            <v>3</v>
          </cell>
          <cell r="L80">
            <v>0</v>
          </cell>
        </row>
        <row r="81">
          <cell r="B81">
            <v>2022</v>
          </cell>
          <cell r="C81">
            <v>11</v>
          </cell>
          <cell r="E81" t="str">
            <v>NE</v>
          </cell>
          <cell r="I81">
            <v>10</v>
          </cell>
          <cell r="J81">
            <v>3</v>
          </cell>
          <cell r="L81">
            <v>0</v>
          </cell>
        </row>
        <row r="82">
          <cell r="B82">
            <v>2022</v>
          </cell>
          <cell r="C82">
            <v>12</v>
          </cell>
          <cell r="E82" t="str">
            <v>NE</v>
          </cell>
          <cell r="I82">
            <v>26</v>
          </cell>
          <cell r="J82">
            <v>33</v>
          </cell>
          <cell r="L82">
            <v>0</v>
          </cell>
        </row>
        <row r="83">
          <cell r="B83">
            <v>2022</v>
          </cell>
          <cell r="C83">
            <v>13</v>
          </cell>
          <cell r="E83" t="str">
            <v>NE</v>
          </cell>
          <cell r="I83">
            <v>10</v>
          </cell>
          <cell r="J83">
            <v>24</v>
          </cell>
          <cell r="L83">
            <v>0</v>
          </cell>
        </row>
        <row r="84">
          <cell r="B84">
            <v>2022</v>
          </cell>
          <cell r="C84">
            <v>14</v>
          </cell>
          <cell r="E84" t="str">
            <v>NE</v>
          </cell>
          <cell r="I84">
            <v>27</v>
          </cell>
          <cell r="J84">
            <v>13</v>
          </cell>
          <cell r="L84">
            <v>0</v>
          </cell>
        </row>
        <row r="85">
          <cell r="B85">
            <v>2022</v>
          </cell>
          <cell r="C85">
            <v>15</v>
          </cell>
          <cell r="E85" t="str">
            <v>NE</v>
          </cell>
          <cell r="I85">
            <v>24</v>
          </cell>
          <cell r="J85">
            <v>30</v>
          </cell>
          <cell r="L85">
            <v>0</v>
          </cell>
        </row>
        <row r="86">
          <cell r="B86">
            <v>2022</v>
          </cell>
          <cell r="C86">
            <v>16</v>
          </cell>
          <cell r="E86" t="str">
            <v>NE</v>
          </cell>
          <cell r="I86">
            <v>18</v>
          </cell>
          <cell r="J86">
            <v>22</v>
          </cell>
          <cell r="L86">
            <v>0</v>
          </cell>
        </row>
        <row r="87">
          <cell r="B87">
            <v>2022</v>
          </cell>
          <cell r="C87">
            <v>17</v>
          </cell>
          <cell r="E87" t="str">
            <v>NE</v>
          </cell>
          <cell r="I87">
            <v>23</v>
          </cell>
          <cell r="J87">
            <v>21</v>
          </cell>
          <cell r="L87">
            <v>0</v>
          </cell>
        </row>
        <row r="88">
          <cell r="B88">
            <v>2022</v>
          </cell>
          <cell r="C88">
            <v>18</v>
          </cell>
          <cell r="E88" t="str">
            <v>NE</v>
          </cell>
          <cell r="I88">
            <v>23</v>
          </cell>
          <cell r="J88">
            <v>35</v>
          </cell>
          <cell r="L88">
            <v>0</v>
          </cell>
        </row>
        <row r="89">
          <cell r="B89">
            <v>2023</v>
          </cell>
          <cell r="C89">
            <v>1</v>
          </cell>
          <cell r="E89" t="str">
            <v>NE</v>
          </cell>
          <cell r="I89">
            <v>20</v>
          </cell>
          <cell r="J89">
            <v>25</v>
          </cell>
          <cell r="L89">
            <v>0</v>
          </cell>
        </row>
        <row r="90">
          <cell r="B90">
            <v>2023</v>
          </cell>
          <cell r="C90">
            <v>2</v>
          </cell>
          <cell r="E90" t="str">
            <v>NE</v>
          </cell>
          <cell r="I90">
            <v>17</v>
          </cell>
          <cell r="J90">
            <v>24</v>
          </cell>
          <cell r="L90">
            <v>0</v>
          </cell>
        </row>
        <row r="91">
          <cell r="B91">
            <v>2023</v>
          </cell>
          <cell r="C91">
            <v>3</v>
          </cell>
          <cell r="E91" t="str">
            <v>NE</v>
          </cell>
          <cell r="I91">
            <v>15</v>
          </cell>
          <cell r="J91">
            <v>10</v>
          </cell>
          <cell r="L91">
            <v>0</v>
          </cell>
        </row>
        <row r="92">
          <cell r="B92">
            <v>2023</v>
          </cell>
          <cell r="C92">
            <v>4</v>
          </cell>
          <cell r="E92" t="str">
            <v>NE</v>
          </cell>
          <cell r="I92">
            <v>3</v>
          </cell>
          <cell r="J92">
            <v>38</v>
          </cell>
          <cell r="L92">
            <v>0</v>
          </cell>
        </row>
        <row r="93">
          <cell r="B93">
            <v>2023</v>
          </cell>
          <cell r="C93">
            <v>5</v>
          </cell>
          <cell r="E93" t="str">
            <v>NE</v>
          </cell>
          <cell r="I93">
            <v>0</v>
          </cell>
          <cell r="J93">
            <v>34</v>
          </cell>
          <cell r="L93">
            <v>0</v>
          </cell>
        </row>
        <row r="94">
          <cell r="B94">
            <v>2023</v>
          </cell>
          <cell r="C94">
            <v>6</v>
          </cell>
          <cell r="E94" t="str">
            <v>NE</v>
          </cell>
          <cell r="I94">
            <v>17</v>
          </cell>
          <cell r="J94">
            <v>21</v>
          </cell>
          <cell r="L94">
            <v>0</v>
          </cell>
        </row>
        <row r="95">
          <cell r="B95">
            <v>2023</v>
          </cell>
          <cell r="C95">
            <v>7</v>
          </cell>
          <cell r="E95" t="str">
            <v>NE</v>
          </cell>
          <cell r="I95">
            <v>29</v>
          </cell>
          <cell r="J95">
            <v>25</v>
          </cell>
          <cell r="L95">
            <v>0</v>
          </cell>
        </row>
        <row r="96">
          <cell r="B96">
            <v>2023</v>
          </cell>
          <cell r="C96">
            <v>8</v>
          </cell>
          <cell r="E96" t="str">
            <v>NE</v>
          </cell>
          <cell r="I96">
            <v>17</v>
          </cell>
          <cell r="J96">
            <v>31</v>
          </cell>
          <cell r="L96">
            <v>0</v>
          </cell>
        </row>
        <row r="97">
          <cell r="B97">
            <v>2023</v>
          </cell>
          <cell r="C97">
            <v>9</v>
          </cell>
          <cell r="E97" t="str">
            <v>NE</v>
          </cell>
          <cell r="I97">
            <v>17</v>
          </cell>
          <cell r="J97">
            <v>20</v>
          </cell>
          <cell r="L97">
            <v>0</v>
          </cell>
        </row>
        <row r="98">
          <cell r="B98">
            <v>2023</v>
          </cell>
          <cell r="C98">
            <v>10</v>
          </cell>
          <cell r="E98" t="str">
            <v>NE</v>
          </cell>
          <cell r="I98">
            <v>6</v>
          </cell>
          <cell r="J98">
            <v>10</v>
          </cell>
          <cell r="L98">
            <v>0</v>
          </cell>
        </row>
        <row r="99">
          <cell r="B99">
            <v>2023</v>
          </cell>
          <cell r="C99">
            <v>12</v>
          </cell>
          <cell r="E99" t="str">
            <v>NE</v>
          </cell>
          <cell r="I99">
            <v>7</v>
          </cell>
          <cell r="J99">
            <v>10</v>
          </cell>
          <cell r="L99">
            <v>0</v>
          </cell>
        </row>
        <row r="100">
          <cell r="B100">
            <v>2023</v>
          </cell>
          <cell r="C100">
            <v>13</v>
          </cell>
          <cell r="E100" t="str">
            <v>NE</v>
          </cell>
          <cell r="I100">
            <v>0</v>
          </cell>
          <cell r="J100">
            <v>6</v>
          </cell>
          <cell r="L100">
            <v>0</v>
          </cell>
        </row>
        <row r="101">
          <cell r="B101">
            <v>2023</v>
          </cell>
          <cell r="C101">
            <v>14</v>
          </cell>
          <cell r="E101" t="str">
            <v>NE</v>
          </cell>
          <cell r="I101">
            <v>21</v>
          </cell>
          <cell r="J101">
            <v>18</v>
          </cell>
          <cell r="L101">
            <v>0</v>
          </cell>
        </row>
        <row r="102">
          <cell r="B102">
            <v>2023</v>
          </cell>
          <cell r="C102">
            <v>15</v>
          </cell>
          <cell r="E102" t="str">
            <v>NE</v>
          </cell>
          <cell r="I102">
            <v>17</v>
          </cell>
          <cell r="J102">
            <v>27</v>
          </cell>
          <cell r="L102">
            <v>0</v>
          </cell>
        </row>
        <row r="103">
          <cell r="B103">
            <v>2023</v>
          </cell>
          <cell r="C103">
            <v>16</v>
          </cell>
          <cell r="E103" t="str">
            <v>NE</v>
          </cell>
          <cell r="I103">
            <v>26</v>
          </cell>
          <cell r="J103">
            <v>23</v>
          </cell>
          <cell r="L103">
            <v>0</v>
          </cell>
        </row>
        <row r="104">
          <cell r="B104">
            <v>2023</v>
          </cell>
          <cell r="C104">
            <v>17</v>
          </cell>
          <cell r="E104" t="str">
            <v>NE</v>
          </cell>
          <cell r="I104">
            <v>21</v>
          </cell>
          <cell r="J104">
            <v>27</v>
          </cell>
          <cell r="L104">
            <v>0</v>
          </cell>
        </row>
        <row r="105">
          <cell r="B105">
            <v>2023</v>
          </cell>
          <cell r="C105">
            <v>18</v>
          </cell>
          <cell r="E105" t="str">
            <v>NE</v>
          </cell>
          <cell r="I105">
            <v>3</v>
          </cell>
          <cell r="J105">
            <v>17</v>
          </cell>
          <cell r="L105">
            <v>0</v>
          </cell>
        </row>
        <row r="106">
          <cell r="B106">
            <v>2024</v>
          </cell>
          <cell r="C106">
            <v>1</v>
          </cell>
          <cell r="E106" t="str">
            <v>NE</v>
          </cell>
          <cell r="I106">
            <v>16</v>
          </cell>
          <cell r="J106">
            <v>10</v>
          </cell>
          <cell r="L106">
            <v>0</v>
          </cell>
        </row>
        <row r="107">
          <cell r="B107">
            <v>2024</v>
          </cell>
          <cell r="C107">
            <v>2</v>
          </cell>
          <cell r="E107" t="str">
            <v>NE</v>
          </cell>
          <cell r="I107">
            <v>20</v>
          </cell>
          <cell r="J107">
            <v>23</v>
          </cell>
          <cell r="L107">
            <v>0</v>
          </cell>
        </row>
        <row r="108">
          <cell r="B108">
            <v>2024</v>
          </cell>
          <cell r="C108">
            <v>3</v>
          </cell>
          <cell r="E108" t="str">
            <v>NE</v>
          </cell>
          <cell r="I108">
            <v>3</v>
          </cell>
          <cell r="J108">
            <v>24</v>
          </cell>
          <cell r="L108">
            <v>0</v>
          </cell>
        </row>
        <row r="109">
          <cell r="B109">
            <v>2024</v>
          </cell>
          <cell r="C109">
            <v>4</v>
          </cell>
          <cell r="E109" t="str">
            <v>NE</v>
          </cell>
          <cell r="I109">
            <v>13</v>
          </cell>
          <cell r="J109">
            <v>30</v>
          </cell>
          <cell r="L109">
            <v>0</v>
          </cell>
        </row>
        <row r="110">
          <cell r="B110">
            <v>2024</v>
          </cell>
          <cell r="C110">
            <v>5</v>
          </cell>
          <cell r="E110" t="str">
            <v>NE</v>
          </cell>
          <cell r="I110">
            <v>10</v>
          </cell>
          <cell r="J110">
            <v>15</v>
          </cell>
          <cell r="L110">
            <v>0</v>
          </cell>
        </row>
        <row r="111">
          <cell r="B111">
            <v>2024</v>
          </cell>
          <cell r="C111">
            <v>6</v>
          </cell>
          <cell r="E111" t="str">
            <v>NE</v>
          </cell>
          <cell r="I111">
            <v>21</v>
          </cell>
          <cell r="J111">
            <v>41</v>
          </cell>
          <cell r="L111">
            <v>0</v>
          </cell>
        </row>
        <row r="112">
          <cell r="B112">
            <v>2024</v>
          </cell>
          <cell r="C112">
            <v>7</v>
          </cell>
          <cell r="E112" t="str">
            <v>NE</v>
          </cell>
          <cell r="I112">
            <v>16</v>
          </cell>
          <cell r="J112">
            <v>32</v>
          </cell>
          <cell r="L112">
            <v>0</v>
          </cell>
        </row>
        <row r="113">
          <cell r="B113">
            <v>2024</v>
          </cell>
          <cell r="C113">
            <v>8</v>
          </cell>
          <cell r="E113" t="str">
            <v>NE</v>
          </cell>
          <cell r="I113">
            <v>25</v>
          </cell>
          <cell r="J113">
            <v>22</v>
          </cell>
          <cell r="L113">
            <v>0</v>
          </cell>
        </row>
        <row r="114">
          <cell r="B114">
            <v>2024</v>
          </cell>
          <cell r="C114">
            <v>9</v>
          </cell>
          <cell r="E114" t="str">
            <v>NE</v>
          </cell>
          <cell r="I114">
            <v>17</v>
          </cell>
          <cell r="J114">
            <v>20</v>
          </cell>
          <cell r="L114">
            <v>0</v>
          </cell>
        </row>
        <row r="115">
          <cell r="B115">
            <v>2024</v>
          </cell>
          <cell r="C115">
            <v>10</v>
          </cell>
          <cell r="E115" t="str">
            <v>NE</v>
          </cell>
          <cell r="I115">
            <v>19</v>
          </cell>
          <cell r="J115">
            <v>3</v>
          </cell>
          <cell r="L115">
            <v>0</v>
          </cell>
        </row>
        <row r="116">
          <cell r="B116">
            <v>2024</v>
          </cell>
          <cell r="C116">
            <v>11</v>
          </cell>
          <cell r="E116" t="str">
            <v>NE</v>
          </cell>
          <cell r="I116">
            <v>22</v>
          </cell>
          <cell r="J116">
            <v>28</v>
          </cell>
          <cell r="L116">
            <v>0</v>
          </cell>
        </row>
        <row r="117">
          <cell r="B117">
            <v>2024</v>
          </cell>
          <cell r="C117">
            <v>12</v>
          </cell>
          <cell r="E117" t="str">
            <v>NE</v>
          </cell>
          <cell r="I117">
            <v>15</v>
          </cell>
          <cell r="J117">
            <v>34</v>
          </cell>
          <cell r="L117">
            <v>0</v>
          </cell>
        </row>
        <row r="118">
          <cell r="B118">
            <v>2024</v>
          </cell>
          <cell r="C118">
            <v>13</v>
          </cell>
          <cell r="E118" t="str">
            <v>NE</v>
          </cell>
          <cell r="I118">
            <v>24</v>
          </cell>
          <cell r="J118">
            <v>25</v>
          </cell>
          <cell r="L118">
            <v>0</v>
          </cell>
        </row>
        <row r="119">
          <cell r="B119">
            <v>2024</v>
          </cell>
          <cell r="C119">
            <v>15</v>
          </cell>
          <cell r="E119" t="str">
            <v>NE</v>
          </cell>
          <cell r="I119">
            <v>17</v>
          </cell>
          <cell r="J119">
            <v>30</v>
          </cell>
          <cell r="L119">
            <v>0</v>
          </cell>
        </row>
        <row r="120">
          <cell r="B120">
            <v>2024</v>
          </cell>
          <cell r="C120">
            <v>16</v>
          </cell>
          <cell r="E120" t="str">
            <v>NE</v>
          </cell>
          <cell r="I120">
            <v>21</v>
          </cell>
          <cell r="J120">
            <v>24</v>
          </cell>
          <cell r="L120">
            <v>0</v>
          </cell>
        </row>
        <row r="121">
          <cell r="B121">
            <v>2024</v>
          </cell>
          <cell r="C121">
            <v>17</v>
          </cell>
          <cell r="E121" t="str">
            <v>NE</v>
          </cell>
          <cell r="I121">
            <v>7</v>
          </cell>
          <cell r="J121">
            <v>40</v>
          </cell>
          <cell r="L121">
            <v>0</v>
          </cell>
        </row>
        <row r="122">
          <cell r="B122">
            <v>2024</v>
          </cell>
          <cell r="C122">
            <v>18</v>
          </cell>
          <cell r="E122" t="str">
            <v>NE</v>
          </cell>
          <cell r="I122">
            <v>23</v>
          </cell>
          <cell r="J122">
            <v>16</v>
          </cell>
          <cell r="L122">
            <v>0</v>
          </cell>
        </row>
        <row r="123">
          <cell r="B123">
            <v>2025</v>
          </cell>
          <cell r="C123">
            <v>1</v>
          </cell>
          <cell r="E123" t="str">
            <v>NE</v>
          </cell>
          <cell r="I123">
            <v>13</v>
          </cell>
          <cell r="J123">
            <v>20</v>
          </cell>
          <cell r="L123">
            <v>0</v>
          </cell>
        </row>
        <row r="124">
          <cell r="B124">
            <v>2025</v>
          </cell>
          <cell r="C124">
            <v>2</v>
          </cell>
          <cell r="E124" t="str">
            <v>NE</v>
          </cell>
          <cell r="I124">
            <v>33</v>
          </cell>
          <cell r="J124">
            <v>27</v>
          </cell>
          <cell r="L124">
            <v>0</v>
          </cell>
        </row>
        <row r="125">
          <cell r="B125">
            <v>2025</v>
          </cell>
          <cell r="C125">
            <v>3</v>
          </cell>
          <cell r="E125" t="str">
            <v>NE</v>
          </cell>
          <cell r="I125">
            <v>14</v>
          </cell>
          <cell r="J125">
            <v>21</v>
          </cell>
          <cell r="L125">
            <v>0</v>
          </cell>
        </row>
        <row r="126">
          <cell r="B126">
            <v>2025</v>
          </cell>
          <cell r="C126">
            <v>4</v>
          </cell>
          <cell r="E126" t="str">
            <v>NE</v>
          </cell>
          <cell r="I126">
            <v>42</v>
          </cell>
          <cell r="J126">
            <v>13</v>
          </cell>
          <cell r="L126">
            <v>0</v>
          </cell>
        </row>
        <row r="127">
          <cell r="B127">
            <v>2025</v>
          </cell>
          <cell r="C127">
            <v>5</v>
          </cell>
          <cell r="E127" t="str">
            <v>NE</v>
          </cell>
          <cell r="I127">
            <v>23</v>
          </cell>
          <cell r="J127">
            <v>20</v>
          </cell>
          <cell r="L127">
            <v>0</v>
          </cell>
        </row>
        <row r="128">
          <cell r="B128">
            <v>2025</v>
          </cell>
          <cell r="C128">
            <v>6</v>
          </cell>
          <cell r="E128" t="str">
            <v>NE</v>
          </cell>
          <cell r="I128">
            <v>25</v>
          </cell>
          <cell r="J128">
            <v>19</v>
          </cell>
          <cell r="L128">
            <v>0</v>
          </cell>
        </row>
        <row r="129">
          <cell r="B129">
            <v>2025</v>
          </cell>
          <cell r="C129">
            <v>7</v>
          </cell>
          <cell r="E129" t="str">
            <v>NE</v>
          </cell>
          <cell r="I129">
            <v>31</v>
          </cell>
          <cell r="J129">
            <v>13</v>
          </cell>
          <cell r="L129">
            <v>0</v>
          </cell>
        </row>
        <row r="130">
          <cell r="B130">
            <v>2025</v>
          </cell>
          <cell r="C130">
            <v>8</v>
          </cell>
          <cell r="E130" t="str">
            <v>NE</v>
          </cell>
          <cell r="I130">
            <v>32</v>
          </cell>
          <cell r="J130">
            <v>13</v>
          </cell>
          <cell r="L130">
            <v>0</v>
          </cell>
        </row>
        <row r="131">
          <cell r="B131">
            <v>2025</v>
          </cell>
          <cell r="C131">
            <v>9</v>
          </cell>
          <cell r="E131" t="str">
            <v>NE</v>
          </cell>
          <cell r="I131">
            <v>24</v>
          </cell>
          <cell r="J131">
            <v>23</v>
          </cell>
          <cell r="L131">
            <v>0</v>
          </cell>
        </row>
        <row r="132">
          <cell r="B132">
            <v>2025</v>
          </cell>
          <cell r="C132">
            <v>10</v>
          </cell>
          <cell r="E132" t="str">
            <v>NE</v>
          </cell>
          <cell r="I132">
            <v>28</v>
          </cell>
          <cell r="J132">
            <v>23</v>
          </cell>
          <cell r="L132">
            <v>0</v>
          </cell>
        </row>
        <row r="133">
          <cell r="B133">
            <v>2025</v>
          </cell>
          <cell r="C133">
            <v>11</v>
          </cell>
          <cell r="E133" t="str">
            <v>NE</v>
          </cell>
          <cell r="I133">
            <v>27</v>
          </cell>
          <cell r="J133">
            <v>14</v>
          </cell>
          <cell r="L133">
            <v>0</v>
          </cell>
        </row>
        <row r="134">
          <cell r="B134">
            <v>2025</v>
          </cell>
          <cell r="C134">
            <v>12</v>
          </cell>
          <cell r="E134" t="str">
            <v>NE</v>
          </cell>
          <cell r="I134">
            <v>26</v>
          </cell>
          <cell r="J134">
            <v>20</v>
          </cell>
          <cell r="L134">
            <v>0</v>
          </cell>
        </row>
        <row r="135">
          <cell r="B135">
            <v>2025</v>
          </cell>
          <cell r="C135">
            <v>13</v>
          </cell>
          <cell r="E135" t="str">
            <v>NE</v>
          </cell>
          <cell r="I135">
            <v>33</v>
          </cell>
          <cell r="J135">
            <v>15</v>
          </cell>
          <cell r="L135">
            <v>0</v>
          </cell>
        </row>
        <row r="136">
          <cell r="B136">
            <v>2025</v>
          </cell>
          <cell r="C136">
            <v>15</v>
          </cell>
          <cell r="E136" t="str">
            <v>NE</v>
          </cell>
          <cell r="I136">
            <v>31</v>
          </cell>
          <cell r="J136">
            <v>35</v>
          </cell>
          <cell r="L136">
            <v>0</v>
          </cell>
        </row>
        <row r="137">
          <cell r="B137">
            <v>2025</v>
          </cell>
          <cell r="C137">
            <v>16</v>
          </cell>
          <cell r="E137" t="str">
            <v>NE</v>
          </cell>
          <cell r="I137">
            <v>28</v>
          </cell>
          <cell r="J137">
            <v>24</v>
          </cell>
          <cell r="L137">
            <v>0</v>
          </cell>
        </row>
        <row r="138">
          <cell r="B138">
            <v>2025</v>
          </cell>
          <cell r="C138">
            <v>17</v>
          </cell>
          <cell r="E138" t="str">
            <v>NE</v>
          </cell>
          <cell r="I138">
            <v>42</v>
          </cell>
          <cell r="J138">
            <v>10</v>
          </cell>
          <cell r="L138">
            <v>0</v>
          </cell>
        </row>
        <row r="139">
          <cell r="B139">
            <v>2025</v>
          </cell>
          <cell r="C139">
            <v>18</v>
          </cell>
          <cell r="E139" t="str">
            <v>NE</v>
          </cell>
          <cell r="I139">
            <v>38</v>
          </cell>
          <cell r="J139">
            <v>10</v>
          </cell>
          <cell r="L139">
            <v>0</v>
          </cell>
        </row>
        <row r="140">
          <cell r="B140">
            <v>2025</v>
          </cell>
          <cell r="C140">
            <v>1</v>
          </cell>
          <cell r="E140" t="str">
            <v>NE</v>
          </cell>
          <cell r="I140">
            <v>16</v>
          </cell>
          <cell r="J140">
            <v>3</v>
          </cell>
          <cell r="L140">
            <v>1</v>
          </cell>
        </row>
        <row r="141">
          <cell r="B141">
            <v>2025</v>
          </cell>
          <cell r="C141">
            <v>2</v>
          </cell>
          <cell r="E141" t="str">
            <v>NE</v>
          </cell>
          <cell r="I141">
            <v>28</v>
          </cell>
          <cell r="J141">
            <v>16</v>
          </cell>
          <cell r="L141">
            <v>1</v>
          </cell>
        </row>
        <row r="142">
          <cell r="B142">
            <v>2025</v>
          </cell>
          <cell r="C142">
            <v>3</v>
          </cell>
          <cell r="E142" t="str">
            <v>NE</v>
          </cell>
          <cell r="I142">
            <v>10</v>
          </cell>
          <cell r="J142">
            <v>7</v>
          </cell>
          <cell r="L142">
            <v>1</v>
          </cell>
        </row>
        <row r="143">
          <cell r="B143">
            <v>2025</v>
          </cell>
          <cell r="C143">
            <v>5</v>
          </cell>
          <cell r="E143" t="str">
            <v>NE</v>
          </cell>
          <cell r="I143">
            <v>13</v>
          </cell>
          <cell r="J143">
            <v>29</v>
          </cell>
          <cell r="L143">
            <v>1</v>
          </cell>
        </row>
        <row r="144">
          <cell r="B144">
            <v>2026</v>
          </cell>
          <cell r="C144">
            <v>1</v>
          </cell>
          <cell r="E144" t="str">
            <v>NE</v>
          </cell>
          <cell r="I144">
            <v>10</v>
          </cell>
          <cell r="J144">
            <v>13</v>
          </cell>
          <cell r="L144">
            <v>0</v>
          </cell>
        </row>
        <row r="145">
          <cell r="B145">
            <v>2026</v>
          </cell>
          <cell r="C145">
            <v>2</v>
          </cell>
          <cell r="E145" t="str">
            <v>NE</v>
          </cell>
          <cell r="I145">
            <v>20</v>
          </cell>
          <cell r="J145">
            <v>3</v>
          </cell>
          <cell r="L145">
            <v>0</v>
          </cell>
        </row>
        <row r="146">
          <cell r="B146">
            <v>2026</v>
          </cell>
          <cell r="C146">
            <v>3</v>
          </cell>
          <cell r="E146" t="str">
            <v>NE</v>
          </cell>
          <cell r="I146">
            <v>6</v>
          </cell>
          <cell r="J146">
            <v>35</v>
          </cell>
          <cell r="L146">
            <v>0</v>
          </cell>
        </row>
        <row r="147">
          <cell r="B147">
            <v>2026</v>
          </cell>
          <cell r="C147">
            <v>4</v>
          </cell>
          <cell r="E147" t="str">
            <v>NE</v>
          </cell>
          <cell r="I147">
            <v>29</v>
          </cell>
          <cell r="J147">
            <v>26</v>
          </cell>
          <cell r="L147">
            <v>0</v>
          </cell>
        </row>
        <row r="148">
          <cell r="B148">
            <v>2026</v>
          </cell>
          <cell r="C148">
            <v>5</v>
          </cell>
          <cell r="E148" t="str">
            <v>NE</v>
          </cell>
          <cell r="I148">
            <v>45</v>
          </cell>
          <cell r="J148">
            <v>17</v>
          </cell>
          <cell r="L148">
            <v>0</v>
          </cell>
        </row>
        <row r="149">
          <cell r="B149">
            <v>2026</v>
          </cell>
          <cell r="C149">
            <v>6</v>
          </cell>
          <cell r="E149" t="str">
            <v>NE</v>
          </cell>
          <cell r="I149">
            <v>26</v>
          </cell>
          <cell r="J149">
            <v>19</v>
          </cell>
          <cell r="L149">
            <v>0</v>
          </cell>
        </row>
        <row r="150">
          <cell r="B150">
            <v>2026</v>
          </cell>
          <cell r="C150">
            <v>7</v>
          </cell>
          <cell r="E150" t="str">
            <v>NE</v>
          </cell>
          <cell r="L150">
            <v>0</v>
          </cell>
        </row>
        <row r="151">
          <cell r="B151">
            <v>2018</v>
          </cell>
          <cell r="C151">
            <v>1</v>
          </cell>
          <cell r="E151" t="str">
            <v>BUF</v>
          </cell>
          <cell r="I151">
            <v>3</v>
          </cell>
          <cell r="J151">
            <v>47</v>
          </cell>
          <cell r="L151">
            <v>0</v>
          </cell>
        </row>
        <row r="152">
          <cell r="B152">
            <v>2018</v>
          </cell>
          <cell r="C152">
            <v>2</v>
          </cell>
          <cell r="E152" t="str">
            <v>BUF</v>
          </cell>
          <cell r="I152">
            <v>20</v>
          </cell>
          <cell r="J152">
            <v>31</v>
          </cell>
          <cell r="L152">
            <v>0</v>
          </cell>
        </row>
        <row r="153">
          <cell r="B153">
            <v>2018</v>
          </cell>
          <cell r="C153">
            <v>3</v>
          </cell>
          <cell r="E153" t="str">
            <v>BUF</v>
          </cell>
          <cell r="I153">
            <v>27</v>
          </cell>
          <cell r="J153">
            <v>6</v>
          </cell>
          <cell r="L153">
            <v>0</v>
          </cell>
        </row>
        <row r="154">
          <cell r="B154">
            <v>2018</v>
          </cell>
          <cell r="C154">
            <v>4</v>
          </cell>
          <cell r="E154" t="str">
            <v>BUF</v>
          </cell>
          <cell r="I154">
            <v>0</v>
          </cell>
          <cell r="J154">
            <v>22</v>
          </cell>
          <cell r="L154">
            <v>0</v>
          </cell>
        </row>
        <row r="155">
          <cell r="B155">
            <v>2018</v>
          </cell>
          <cell r="C155">
            <v>5</v>
          </cell>
          <cell r="E155" t="str">
            <v>BUF</v>
          </cell>
          <cell r="I155">
            <v>13</v>
          </cell>
          <cell r="J155">
            <v>12</v>
          </cell>
          <cell r="L155">
            <v>0</v>
          </cell>
        </row>
        <row r="156">
          <cell r="B156">
            <v>2018</v>
          </cell>
          <cell r="C156">
            <v>6</v>
          </cell>
          <cell r="E156" t="str">
            <v>BUF</v>
          </cell>
          <cell r="I156">
            <v>13</v>
          </cell>
          <cell r="J156">
            <v>20</v>
          </cell>
          <cell r="L156">
            <v>0</v>
          </cell>
        </row>
        <row r="157">
          <cell r="B157">
            <v>2018</v>
          </cell>
          <cell r="C157">
            <v>7</v>
          </cell>
          <cell r="E157" t="str">
            <v>BUF</v>
          </cell>
          <cell r="I157">
            <v>5</v>
          </cell>
          <cell r="J157">
            <v>37</v>
          </cell>
          <cell r="L157">
            <v>0</v>
          </cell>
        </row>
        <row r="158">
          <cell r="B158">
            <v>2018</v>
          </cell>
          <cell r="C158">
            <v>8</v>
          </cell>
          <cell r="E158" t="str">
            <v>BUF</v>
          </cell>
          <cell r="I158">
            <v>6</v>
          </cell>
          <cell r="J158">
            <v>25</v>
          </cell>
          <cell r="L158">
            <v>0</v>
          </cell>
        </row>
        <row r="159">
          <cell r="B159">
            <v>2018</v>
          </cell>
          <cell r="C159">
            <v>9</v>
          </cell>
          <cell r="E159" t="str">
            <v>BUF</v>
          </cell>
          <cell r="I159">
            <v>9</v>
          </cell>
          <cell r="J159">
            <v>41</v>
          </cell>
          <cell r="L159">
            <v>0</v>
          </cell>
        </row>
        <row r="160">
          <cell r="B160">
            <v>2018</v>
          </cell>
          <cell r="C160">
            <v>10</v>
          </cell>
          <cell r="E160" t="str">
            <v>BUF</v>
          </cell>
          <cell r="I160">
            <v>41</v>
          </cell>
          <cell r="J160">
            <v>10</v>
          </cell>
          <cell r="L160">
            <v>0</v>
          </cell>
        </row>
        <row r="161">
          <cell r="B161">
            <v>2018</v>
          </cell>
          <cell r="C161">
            <v>12</v>
          </cell>
          <cell r="E161" t="str">
            <v>BUF</v>
          </cell>
          <cell r="I161">
            <v>24</v>
          </cell>
          <cell r="J161">
            <v>21</v>
          </cell>
          <cell r="L161">
            <v>0</v>
          </cell>
        </row>
        <row r="162">
          <cell r="B162">
            <v>2018</v>
          </cell>
          <cell r="C162">
            <v>13</v>
          </cell>
          <cell r="E162" t="str">
            <v>BUF</v>
          </cell>
          <cell r="I162">
            <v>17</v>
          </cell>
          <cell r="J162">
            <v>21</v>
          </cell>
          <cell r="L162">
            <v>0</v>
          </cell>
        </row>
        <row r="163">
          <cell r="B163">
            <v>2018</v>
          </cell>
          <cell r="C163">
            <v>14</v>
          </cell>
          <cell r="E163" t="str">
            <v>BUF</v>
          </cell>
          <cell r="I163">
            <v>23</v>
          </cell>
          <cell r="J163">
            <v>27</v>
          </cell>
          <cell r="L163">
            <v>0</v>
          </cell>
        </row>
        <row r="164">
          <cell r="B164">
            <v>2018</v>
          </cell>
          <cell r="C164">
            <v>15</v>
          </cell>
          <cell r="E164" t="str">
            <v>BUF</v>
          </cell>
          <cell r="I164">
            <v>14</v>
          </cell>
          <cell r="J164">
            <v>13</v>
          </cell>
          <cell r="L164">
            <v>0</v>
          </cell>
        </row>
        <row r="165">
          <cell r="B165">
            <v>2018</v>
          </cell>
          <cell r="C165">
            <v>16</v>
          </cell>
          <cell r="E165" t="str">
            <v>BUF</v>
          </cell>
          <cell r="I165">
            <v>12</v>
          </cell>
          <cell r="J165">
            <v>24</v>
          </cell>
          <cell r="L165">
            <v>0</v>
          </cell>
        </row>
        <row r="166">
          <cell r="B166">
            <v>2018</v>
          </cell>
          <cell r="C166">
            <v>17</v>
          </cell>
          <cell r="E166" t="str">
            <v>BUF</v>
          </cell>
          <cell r="I166">
            <v>42</v>
          </cell>
          <cell r="J166">
            <v>17</v>
          </cell>
          <cell r="L166">
            <v>0</v>
          </cell>
        </row>
        <row r="167">
          <cell r="B167">
            <v>2019</v>
          </cell>
          <cell r="C167">
            <v>1</v>
          </cell>
          <cell r="E167" t="str">
            <v>BUF</v>
          </cell>
          <cell r="I167">
            <v>17</v>
          </cell>
          <cell r="J167">
            <v>16</v>
          </cell>
          <cell r="L167">
            <v>0</v>
          </cell>
        </row>
        <row r="168">
          <cell r="B168">
            <v>2019</v>
          </cell>
          <cell r="C168">
            <v>2</v>
          </cell>
          <cell r="E168" t="str">
            <v>BUF</v>
          </cell>
          <cell r="I168">
            <v>28</v>
          </cell>
          <cell r="J168">
            <v>14</v>
          </cell>
          <cell r="L168">
            <v>0</v>
          </cell>
        </row>
        <row r="169">
          <cell r="B169">
            <v>2019</v>
          </cell>
          <cell r="C169">
            <v>3</v>
          </cell>
          <cell r="E169" t="str">
            <v>BUF</v>
          </cell>
          <cell r="I169">
            <v>21</v>
          </cell>
          <cell r="J169">
            <v>17</v>
          </cell>
          <cell r="L169">
            <v>0</v>
          </cell>
        </row>
        <row r="170">
          <cell r="B170">
            <v>2019</v>
          </cell>
          <cell r="C170">
            <v>4</v>
          </cell>
          <cell r="E170" t="str">
            <v>BUF</v>
          </cell>
          <cell r="I170">
            <v>10</v>
          </cell>
          <cell r="J170">
            <v>16</v>
          </cell>
          <cell r="L170">
            <v>0</v>
          </cell>
        </row>
        <row r="171">
          <cell r="B171">
            <v>2019</v>
          </cell>
          <cell r="C171">
            <v>5</v>
          </cell>
          <cell r="E171" t="str">
            <v>BUF</v>
          </cell>
          <cell r="I171">
            <v>14</v>
          </cell>
          <cell r="J171">
            <v>7</v>
          </cell>
          <cell r="L171">
            <v>0</v>
          </cell>
        </row>
        <row r="172">
          <cell r="B172">
            <v>2019</v>
          </cell>
          <cell r="C172">
            <v>7</v>
          </cell>
          <cell r="E172" t="str">
            <v>BUF</v>
          </cell>
          <cell r="I172">
            <v>31</v>
          </cell>
          <cell r="J172">
            <v>21</v>
          </cell>
          <cell r="L172">
            <v>0</v>
          </cell>
        </row>
        <row r="173">
          <cell r="B173">
            <v>2019</v>
          </cell>
          <cell r="C173">
            <v>8</v>
          </cell>
          <cell r="E173" t="str">
            <v>BUF</v>
          </cell>
          <cell r="I173">
            <v>13</v>
          </cell>
          <cell r="J173">
            <v>31</v>
          </cell>
          <cell r="L173">
            <v>0</v>
          </cell>
        </row>
        <row r="174">
          <cell r="B174">
            <v>2019</v>
          </cell>
          <cell r="C174">
            <v>9</v>
          </cell>
          <cell r="E174" t="str">
            <v>BUF</v>
          </cell>
          <cell r="I174">
            <v>24</v>
          </cell>
          <cell r="J174">
            <v>9</v>
          </cell>
          <cell r="L174">
            <v>0</v>
          </cell>
        </row>
        <row r="175">
          <cell r="B175">
            <v>2019</v>
          </cell>
          <cell r="C175">
            <v>10</v>
          </cell>
          <cell r="E175" t="str">
            <v>BUF</v>
          </cell>
          <cell r="I175">
            <v>16</v>
          </cell>
          <cell r="J175">
            <v>19</v>
          </cell>
          <cell r="L175">
            <v>0</v>
          </cell>
        </row>
        <row r="176">
          <cell r="B176">
            <v>2019</v>
          </cell>
          <cell r="C176">
            <v>11</v>
          </cell>
          <cell r="E176" t="str">
            <v>BUF</v>
          </cell>
          <cell r="I176">
            <v>37</v>
          </cell>
          <cell r="J176">
            <v>20</v>
          </cell>
          <cell r="L176">
            <v>0</v>
          </cell>
        </row>
        <row r="177">
          <cell r="B177">
            <v>2019</v>
          </cell>
          <cell r="C177">
            <v>12</v>
          </cell>
          <cell r="E177" t="str">
            <v>BUF</v>
          </cell>
          <cell r="I177">
            <v>20</v>
          </cell>
          <cell r="J177">
            <v>3</v>
          </cell>
          <cell r="L177">
            <v>0</v>
          </cell>
        </row>
        <row r="178">
          <cell r="B178">
            <v>2019</v>
          </cell>
          <cell r="C178">
            <v>13</v>
          </cell>
          <cell r="E178" t="str">
            <v>BUF</v>
          </cell>
          <cell r="I178">
            <v>26</v>
          </cell>
          <cell r="J178">
            <v>15</v>
          </cell>
          <cell r="L178">
            <v>0</v>
          </cell>
        </row>
        <row r="179">
          <cell r="B179">
            <v>2019</v>
          </cell>
          <cell r="C179">
            <v>14</v>
          </cell>
          <cell r="E179" t="str">
            <v>BUF</v>
          </cell>
          <cell r="I179">
            <v>17</v>
          </cell>
          <cell r="J179">
            <v>24</v>
          </cell>
          <cell r="L179">
            <v>0</v>
          </cell>
        </row>
        <row r="180">
          <cell r="B180">
            <v>2019</v>
          </cell>
          <cell r="C180">
            <v>15</v>
          </cell>
          <cell r="E180" t="str">
            <v>BUF</v>
          </cell>
          <cell r="I180">
            <v>17</v>
          </cell>
          <cell r="J180">
            <v>10</v>
          </cell>
          <cell r="L180">
            <v>0</v>
          </cell>
        </row>
        <row r="181">
          <cell r="B181">
            <v>2019</v>
          </cell>
          <cell r="C181">
            <v>16</v>
          </cell>
          <cell r="E181" t="str">
            <v>BUF</v>
          </cell>
          <cell r="I181">
            <v>17</v>
          </cell>
          <cell r="J181">
            <v>24</v>
          </cell>
          <cell r="L181">
            <v>0</v>
          </cell>
        </row>
        <row r="182">
          <cell r="B182">
            <v>2019</v>
          </cell>
          <cell r="C182">
            <v>17</v>
          </cell>
          <cell r="E182" t="str">
            <v>BUF</v>
          </cell>
          <cell r="I182">
            <v>6</v>
          </cell>
          <cell r="J182">
            <v>13</v>
          </cell>
          <cell r="L182">
            <v>0</v>
          </cell>
        </row>
        <row r="183">
          <cell r="B183">
            <v>2019</v>
          </cell>
          <cell r="C183">
            <v>1</v>
          </cell>
          <cell r="E183" t="str">
            <v>BUF</v>
          </cell>
          <cell r="I183">
            <v>19</v>
          </cell>
          <cell r="J183">
            <v>22</v>
          </cell>
          <cell r="L183">
            <v>1</v>
          </cell>
        </row>
        <row r="184">
          <cell r="B184">
            <v>2020</v>
          </cell>
          <cell r="C184">
            <v>1</v>
          </cell>
          <cell r="E184" t="str">
            <v>BUF</v>
          </cell>
          <cell r="I184">
            <v>27</v>
          </cell>
          <cell r="J184">
            <v>17</v>
          </cell>
          <cell r="L184">
            <v>0</v>
          </cell>
        </row>
        <row r="185">
          <cell r="B185">
            <v>2020</v>
          </cell>
          <cell r="C185">
            <v>2</v>
          </cell>
          <cell r="E185" t="str">
            <v>BUF</v>
          </cell>
          <cell r="I185">
            <v>31</v>
          </cell>
          <cell r="J185">
            <v>28</v>
          </cell>
          <cell r="L185">
            <v>0</v>
          </cell>
        </row>
        <row r="186">
          <cell r="B186">
            <v>2020</v>
          </cell>
          <cell r="C186">
            <v>3</v>
          </cell>
          <cell r="E186" t="str">
            <v>BUF</v>
          </cell>
          <cell r="I186">
            <v>35</v>
          </cell>
          <cell r="J186">
            <v>32</v>
          </cell>
          <cell r="L186">
            <v>0</v>
          </cell>
        </row>
        <row r="187">
          <cell r="B187">
            <v>2020</v>
          </cell>
          <cell r="C187">
            <v>4</v>
          </cell>
          <cell r="E187" t="str">
            <v>BUF</v>
          </cell>
          <cell r="I187">
            <v>30</v>
          </cell>
          <cell r="J187">
            <v>23</v>
          </cell>
          <cell r="L187">
            <v>0</v>
          </cell>
        </row>
        <row r="188">
          <cell r="B188">
            <v>2020</v>
          </cell>
          <cell r="C188">
            <v>5</v>
          </cell>
          <cell r="E188" t="str">
            <v>BUF</v>
          </cell>
          <cell r="I188">
            <v>16</v>
          </cell>
          <cell r="J188">
            <v>42</v>
          </cell>
          <cell r="L188">
            <v>0</v>
          </cell>
        </row>
        <row r="189">
          <cell r="B189">
            <v>2020</v>
          </cell>
          <cell r="C189">
            <v>6</v>
          </cell>
          <cell r="E189" t="str">
            <v>BUF</v>
          </cell>
          <cell r="I189">
            <v>17</v>
          </cell>
          <cell r="J189">
            <v>26</v>
          </cell>
          <cell r="L189">
            <v>0</v>
          </cell>
        </row>
        <row r="190">
          <cell r="B190">
            <v>2020</v>
          </cell>
          <cell r="C190">
            <v>7</v>
          </cell>
          <cell r="E190" t="str">
            <v>BUF</v>
          </cell>
          <cell r="I190">
            <v>18</v>
          </cell>
          <cell r="J190">
            <v>10</v>
          </cell>
          <cell r="L190">
            <v>0</v>
          </cell>
        </row>
        <row r="191">
          <cell r="B191">
            <v>2020</v>
          </cell>
          <cell r="C191">
            <v>8</v>
          </cell>
          <cell r="E191" t="str">
            <v>BUF</v>
          </cell>
          <cell r="I191">
            <v>24</v>
          </cell>
          <cell r="J191">
            <v>21</v>
          </cell>
          <cell r="L191">
            <v>0</v>
          </cell>
        </row>
        <row r="192">
          <cell r="B192">
            <v>2020</v>
          </cell>
          <cell r="C192">
            <v>9</v>
          </cell>
          <cell r="E192" t="str">
            <v>BUF</v>
          </cell>
          <cell r="I192">
            <v>44</v>
          </cell>
          <cell r="J192">
            <v>34</v>
          </cell>
          <cell r="L192">
            <v>0</v>
          </cell>
        </row>
        <row r="193">
          <cell r="B193">
            <v>2020</v>
          </cell>
          <cell r="C193">
            <v>10</v>
          </cell>
          <cell r="E193" t="str">
            <v>BUF</v>
          </cell>
          <cell r="I193">
            <v>30</v>
          </cell>
          <cell r="J193">
            <v>32</v>
          </cell>
          <cell r="L193">
            <v>0</v>
          </cell>
        </row>
        <row r="194">
          <cell r="B194">
            <v>2020</v>
          </cell>
          <cell r="C194">
            <v>12</v>
          </cell>
          <cell r="E194" t="str">
            <v>BUF</v>
          </cell>
          <cell r="I194">
            <v>27</v>
          </cell>
          <cell r="J194">
            <v>17</v>
          </cell>
          <cell r="L194">
            <v>0</v>
          </cell>
        </row>
        <row r="195">
          <cell r="B195">
            <v>2020</v>
          </cell>
          <cell r="C195">
            <v>13</v>
          </cell>
          <cell r="E195" t="str">
            <v>BUF</v>
          </cell>
          <cell r="I195">
            <v>34</v>
          </cell>
          <cell r="J195">
            <v>24</v>
          </cell>
          <cell r="L195">
            <v>0</v>
          </cell>
        </row>
        <row r="196">
          <cell r="B196">
            <v>2020</v>
          </cell>
          <cell r="C196">
            <v>14</v>
          </cell>
          <cell r="E196" t="str">
            <v>BUF</v>
          </cell>
          <cell r="I196">
            <v>26</v>
          </cell>
          <cell r="J196">
            <v>15</v>
          </cell>
          <cell r="L196">
            <v>0</v>
          </cell>
        </row>
        <row r="197">
          <cell r="B197">
            <v>2020</v>
          </cell>
          <cell r="C197">
            <v>15</v>
          </cell>
          <cell r="E197" t="str">
            <v>BUF</v>
          </cell>
          <cell r="I197">
            <v>48</v>
          </cell>
          <cell r="J197">
            <v>19</v>
          </cell>
          <cell r="L197">
            <v>0</v>
          </cell>
        </row>
        <row r="198">
          <cell r="B198">
            <v>2020</v>
          </cell>
          <cell r="C198">
            <v>16</v>
          </cell>
          <cell r="E198" t="str">
            <v>BUF</v>
          </cell>
          <cell r="I198">
            <v>38</v>
          </cell>
          <cell r="J198">
            <v>9</v>
          </cell>
          <cell r="L198">
            <v>0</v>
          </cell>
        </row>
        <row r="199">
          <cell r="B199">
            <v>2020</v>
          </cell>
          <cell r="C199">
            <v>17</v>
          </cell>
          <cell r="E199" t="str">
            <v>BUF</v>
          </cell>
          <cell r="I199">
            <v>56</v>
          </cell>
          <cell r="J199">
            <v>26</v>
          </cell>
          <cell r="L199">
            <v>0</v>
          </cell>
        </row>
        <row r="200">
          <cell r="B200">
            <v>2020</v>
          </cell>
          <cell r="C200">
            <v>1</v>
          </cell>
          <cell r="E200" t="str">
            <v>BUF</v>
          </cell>
          <cell r="I200">
            <v>27</v>
          </cell>
          <cell r="J200">
            <v>24</v>
          </cell>
          <cell r="L200">
            <v>1</v>
          </cell>
        </row>
        <row r="201">
          <cell r="B201">
            <v>2020</v>
          </cell>
          <cell r="C201">
            <v>2</v>
          </cell>
          <cell r="E201" t="str">
            <v>BUF</v>
          </cell>
          <cell r="I201">
            <v>17</v>
          </cell>
          <cell r="J201">
            <v>3</v>
          </cell>
          <cell r="L201">
            <v>1</v>
          </cell>
        </row>
        <row r="202">
          <cell r="B202">
            <v>2020</v>
          </cell>
          <cell r="C202">
            <v>3</v>
          </cell>
          <cell r="E202" t="str">
            <v>BUF</v>
          </cell>
          <cell r="I202">
            <v>24</v>
          </cell>
          <cell r="J202">
            <v>38</v>
          </cell>
          <cell r="L202">
            <v>1</v>
          </cell>
        </row>
        <row r="203">
          <cell r="B203">
            <v>2021</v>
          </cell>
          <cell r="C203">
            <v>1</v>
          </cell>
          <cell r="E203" t="str">
            <v>BUF</v>
          </cell>
          <cell r="I203">
            <v>16</v>
          </cell>
          <cell r="J203">
            <v>23</v>
          </cell>
          <cell r="L203">
            <v>0</v>
          </cell>
        </row>
        <row r="204">
          <cell r="B204">
            <v>2021</v>
          </cell>
          <cell r="C204">
            <v>2</v>
          </cell>
          <cell r="E204" t="str">
            <v>BUF</v>
          </cell>
          <cell r="I204">
            <v>35</v>
          </cell>
          <cell r="J204">
            <v>0</v>
          </cell>
          <cell r="L204">
            <v>0</v>
          </cell>
        </row>
        <row r="205">
          <cell r="B205">
            <v>2021</v>
          </cell>
          <cell r="C205">
            <v>3</v>
          </cell>
          <cell r="E205" t="str">
            <v>BUF</v>
          </cell>
          <cell r="I205">
            <v>43</v>
          </cell>
          <cell r="J205">
            <v>21</v>
          </cell>
          <cell r="L205">
            <v>0</v>
          </cell>
        </row>
        <row r="206">
          <cell r="B206">
            <v>2021</v>
          </cell>
          <cell r="C206">
            <v>4</v>
          </cell>
          <cell r="E206" t="str">
            <v>BUF</v>
          </cell>
          <cell r="I206">
            <v>40</v>
          </cell>
          <cell r="J206">
            <v>0</v>
          </cell>
          <cell r="L206">
            <v>0</v>
          </cell>
        </row>
        <row r="207">
          <cell r="B207">
            <v>2021</v>
          </cell>
          <cell r="C207">
            <v>5</v>
          </cell>
          <cell r="E207" t="str">
            <v>BUF</v>
          </cell>
          <cell r="I207">
            <v>38</v>
          </cell>
          <cell r="J207">
            <v>20</v>
          </cell>
          <cell r="L207">
            <v>0</v>
          </cell>
        </row>
        <row r="208">
          <cell r="B208">
            <v>2021</v>
          </cell>
          <cell r="C208">
            <v>6</v>
          </cell>
          <cell r="E208" t="str">
            <v>BUF</v>
          </cell>
          <cell r="I208">
            <v>31</v>
          </cell>
          <cell r="J208">
            <v>34</v>
          </cell>
          <cell r="L208">
            <v>0</v>
          </cell>
        </row>
        <row r="209">
          <cell r="B209">
            <v>2021</v>
          </cell>
          <cell r="C209">
            <v>8</v>
          </cell>
          <cell r="E209" t="str">
            <v>BUF</v>
          </cell>
          <cell r="I209">
            <v>26</v>
          </cell>
          <cell r="J209">
            <v>11</v>
          </cell>
          <cell r="L209">
            <v>0</v>
          </cell>
        </row>
        <row r="210">
          <cell r="B210">
            <v>2021</v>
          </cell>
          <cell r="C210">
            <v>9</v>
          </cell>
          <cell r="E210" t="str">
            <v>BUF</v>
          </cell>
          <cell r="I210">
            <v>6</v>
          </cell>
          <cell r="J210">
            <v>9</v>
          </cell>
          <cell r="L210">
            <v>0</v>
          </cell>
        </row>
        <row r="211">
          <cell r="B211">
            <v>2021</v>
          </cell>
          <cell r="C211">
            <v>10</v>
          </cell>
          <cell r="E211" t="str">
            <v>BUF</v>
          </cell>
          <cell r="I211">
            <v>45</v>
          </cell>
          <cell r="J211">
            <v>17</v>
          </cell>
          <cell r="L211">
            <v>0</v>
          </cell>
        </row>
        <row r="212">
          <cell r="B212">
            <v>2021</v>
          </cell>
          <cell r="C212">
            <v>11</v>
          </cell>
          <cell r="E212" t="str">
            <v>BUF</v>
          </cell>
          <cell r="I212">
            <v>15</v>
          </cell>
          <cell r="J212">
            <v>41</v>
          </cell>
          <cell r="L212">
            <v>0</v>
          </cell>
        </row>
        <row r="213">
          <cell r="B213">
            <v>2021</v>
          </cell>
          <cell r="C213">
            <v>12</v>
          </cell>
          <cell r="E213" t="str">
            <v>BUF</v>
          </cell>
          <cell r="I213">
            <v>31</v>
          </cell>
          <cell r="J213">
            <v>6</v>
          </cell>
          <cell r="L213">
            <v>0</v>
          </cell>
        </row>
        <row r="214">
          <cell r="B214">
            <v>2021</v>
          </cell>
          <cell r="C214">
            <v>13</v>
          </cell>
          <cell r="E214" t="str">
            <v>BUF</v>
          </cell>
          <cell r="I214">
            <v>10</v>
          </cell>
          <cell r="J214">
            <v>14</v>
          </cell>
          <cell r="L214">
            <v>0</v>
          </cell>
        </row>
        <row r="215">
          <cell r="B215">
            <v>2021</v>
          </cell>
          <cell r="C215">
            <v>14</v>
          </cell>
          <cell r="E215" t="str">
            <v>BUF</v>
          </cell>
          <cell r="I215">
            <v>27</v>
          </cell>
          <cell r="J215">
            <v>33</v>
          </cell>
          <cell r="L215">
            <v>0</v>
          </cell>
        </row>
        <row r="216">
          <cell r="B216">
            <v>2021</v>
          </cell>
          <cell r="C216">
            <v>15</v>
          </cell>
          <cell r="E216" t="str">
            <v>BUF</v>
          </cell>
          <cell r="I216">
            <v>31</v>
          </cell>
          <cell r="J216">
            <v>14</v>
          </cell>
          <cell r="L216">
            <v>0</v>
          </cell>
        </row>
        <row r="217">
          <cell r="B217">
            <v>2021</v>
          </cell>
          <cell r="C217">
            <v>16</v>
          </cell>
          <cell r="E217" t="str">
            <v>BUF</v>
          </cell>
          <cell r="I217">
            <v>33</v>
          </cell>
          <cell r="J217">
            <v>21</v>
          </cell>
          <cell r="L217">
            <v>0</v>
          </cell>
        </row>
        <row r="218">
          <cell r="B218">
            <v>2021</v>
          </cell>
          <cell r="C218">
            <v>17</v>
          </cell>
          <cell r="E218" t="str">
            <v>BUF</v>
          </cell>
          <cell r="I218">
            <v>29</v>
          </cell>
          <cell r="J218">
            <v>15</v>
          </cell>
          <cell r="L218">
            <v>0</v>
          </cell>
        </row>
        <row r="219">
          <cell r="B219">
            <v>2021</v>
          </cell>
          <cell r="C219">
            <v>18</v>
          </cell>
          <cell r="E219" t="str">
            <v>BUF</v>
          </cell>
          <cell r="I219">
            <v>27</v>
          </cell>
          <cell r="J219">
            <v>10</v>
          </cell>
          <cell r="L219">
            <v>0</v>
          </cell>
        </row>
        <row r="220">
          <cell r="B220">
            <v>2021</v>
          </cell>
          <cell r="C220">
            <v>1</v>
          </cell>
          <cell r="E220" t="str">
            <v>BUF</v>
          </cell>
          <cell r="I220">
            <v>47</v>
          </cell>
          <cell r="J220">
            <v>17</v>
          </cell>
          <cell r="L220">
            <v>1</v>
          </cell>
        </row>
        <row r="221">
          <cell r="B221">
            <v>2021</v>
          </cell>
          <cell r="C221">
            <v>2</v>
          </cell>
          <cell r="E221" t="str">
            <v>BUF</v>
          </cell>
          <cell r="I221">
            <v>36</v>
          </cell>
          <cell r="J221">
            <v>42</v>
          </cell>
          <cell r="L221">
            <v>1</v>
          </cell>
        </row>
        <row r="222">
          <cell r="B222">
            <v>2022</v>
          </cell>
          <cell r="C222">
            <v>1</v>
          </cell>
          <cell r="E222" t="str">
            <v>BUF</v>
          </cell>
          <cell r="I222">
            <v>31</v>
          </cell>
          <cell r="J222">
            <v>10</v>
          </cell>
          <cell r="L222">
            <v>0</v>
          </cell>
        </row>
        <row r="223">
          <cell r="B223">
            <v>2022</v>
          </cell>
          <cell r="C223">
            <v>2</v>
          </cell>
          <cell r="E223" t="str">
            <v>BUF</v>
          </cell>
          <cell r="I223">
            <v>41</v>
          </cell>
          <cell r="J223">
            <v>7</v>
          </cell>
          <cell r="L223">
            <v>0</v>
          </cell>
        </row>
        <row r="224">
          <cell r="B224">
            <v>2022</v>
          </cell>
          <cell r="C224">
            <v>3</v>
          </cell>
          <cell r="E224" t="str">
            <v>BUF</v>
          </cell>
          <cell r="I224">
            <v>19</v>
          </cell>
          <cell r="J224">
            <v>21</v>
          </cell>
          <cell r="L224">
            <v>0</v>
          </cell>
        </row>
        <row r="225">
          <cell r="B225">
            <v>2022</v>
          </cell>
          <cell r="C225">
            <v>4</v>
          </cell>
          <cell r="E225" t="str">
            <v>BUF</v>
          </cell>
          <cell r="I225">
            <v>23</v>
          </cell>
          <cell r="J225">
            <v>20</v>
          </cell>
          <cell r="L225">
            <v>0</v>
          </cell>
        </row>
        <row r="226">
          <cell r="B226">
            <v>2022</v>
          </cell>
          <cell r="C226">
            <v>5</v>
          </cell>
          <cell r="E226" t="str">
            <v>BUF</v>
          </cell>
          <cell r="I226">
            <v>38</v>
          </cell>
          <cell r="J226">
            <v>3</v>
          </cell>
          <cell r="L226">
            <v>0</v>
          </cell>
        </row>
        <row r="227">
          <cell r="B227">
            <v>2022</v>
          </cell>
          <cell r="C227">
            <v>6</v>
          </cell>
          <cell r="E227" t="str">
            <v>BUF</v>
          </cell>
          <cell r="I227">
            <v>24</v>
          </cell>
          <cell r="J227">
            <v>20</v>
          </cell>
          <cell r="L227">
            <v>0</v>
          </cell>
        </row>
        <row r="228">
          <cell r="B228">
            <v>2022</v>
          </cell>
          <cell r="C228">
            <v>8</v>
          </cell>
          <cell r="E228" t="str">
            <v>BUF</v>
          </cell>
          <cell r="I228">
            <v>27</v>
          </cell>
          <cell r="J228">
            <v>17</v>
          </cell>
          <cell r="L228">
            <v>0</v>
          </cell>
        </row>
        <row r="229">
          <cell r="B229">
            <v>2022</v>
          </cell>
          <cell r="C229">
            <v>9</v>
          </cell>
          <cell r="E229" t="str">
            <v>BUF</v>
          </cell>
          <cell r="I229">
            <v>17</v>
          </cell>
          <cell r="J229">
            <v>20</v>
          </cell>
          <cell r="L229">
            <v>0</v>
          </cell>
        </row>
        <row r="230">
          <cell r="B230">
            <v>2022</v>
          </cell>
          <cell r="C230">
            <v>10</v>
          </cell>
          <cell r="E230" t="str">
            <v>BUF</v>
          </cell>
          <cell r="I230">
            <v>30</v>
          </cell>
          <cell r="J230">
            <v>33</v>
          </cell>
          <cell r="L230">
            <v>0</v>
          </cell>
        </row>
        <row r="231">
          <cell r="B231">
            <v>2022</v>
          </cell>
          <cell r="C231">
            <v>11</v>
          </cell>
          <cell r="E231" t="str">
            <v>BUF</v>
          </cell>
          <cell r="I231">
            <v>31</v>
          </cell>
          <cell r="J231">
            <v>23</v>
          </cell>
          <cell r="L231">
            <v>0</v>
          </cell>
        </row>
        <row r="232">
          <cell r="B232">
            <v>2022</v>
          </cell>
          <cell r="C232">
            <v>12</v>
          </cell>
          <cell r="E232" t="str">
            <v>BUF</v>
          </cell>
          <cell r="I232">
            <v>28</v>
          </cell>
          <cell r="J232">
            <v>25</v>
          </cell>
          <cell r="L232">
            <v>0</v>
          </cell>
        </row>
        <row r="233">
          <cell r="B233">
            <v>2022</v>
          </cell>
          <cell r="C233">
            <v>13</v>
          </cell>
          <cell r="E233" t="str">
            <v>BUF</v>
          </cell>
          <cell r="I233">
            <v>24</v>
          </cell>
          <cell r="J233">
            <v>10</v>
          </cell>
          <cell r="L233">
            <v>0</v>
          </cell>
        </row>
        <row r="234">
          <cell r="B234">
            <v>2022</v>
          </cell>
          <cell r="C234">
            <v>14</v>
          </cell>
          <cell r="E234" t="str">
            <v>BUF</v>
          </cell>
          <cell r="I234">
            <v>20</v>
          </cell>
          <cell r="J234">
            <v>12</v>
          </cell>
          <cell r="L234">
            <v>0</v>
          </cell>
        </row>
        <row r="235">
          <cell r="B235">
            <v>2022</v>
          </cell>
          <cell r="C235">
            <v>15</v>
          </cell>
          <cell r="E235" t="str">
            <v>BUF</v>
          </cell>
          <cell r="I235">
            <v>32</v>
          </cell>
          <cell r="J235">
            <v>29</v>
          </cell>
          <cell r="L235">
            <v>0</v>
          </cell>
        </row>
        <row r="236">
          <cell r="B236">
            <v>2022</v>
          </cell>
          <cell r="C236">
            <v>16</v>
          </cell>
          <cell r="E236" t="str">
            <v>BUF</v>
          </cell>
          <cell r="I236">
            <v>35</v>
          </cell>
          <cell r="J236">
            <v>13</v>
          </cell>
          <cell r="L236">
            <v>0</v>
          </cell>
        </row>
        <row r="237">
          <cell r="B237">
            <v>2022</v>
          </cell>
          <cell r="C237">
            <v>17</v>
          </cell>
          <cell r="E237" t="str">
            <v>BUF</v>
          </cell>
          <cell r="L237">
            <v>0</v>
          </cell>
        </row>
        <row r="238">
          <cell r="B238">
            <v>2022</v>
          </cell>
          <cell r="C238">
            <v>18</v>
          </cell>
          <cell r="E238" t="str">
            <v>BUF</v>
          </cell>
          <cell r="I238">
            <v>35</v>
          </cell>
          <cell r="J238">
            <v>23</v>
          </cell>
          <cell r="L238">
            <v>0</v>
          </cell>
        </row>
        <row r="239">
          <cell r="B239">
            <v>2022</v>
          </cell>
          <cell r="C239">
            <v>1</v>
          </cell>
          <cell r="E239" t="str">
            <v>BUF</v>
          </cell>
          <cell r="I239">
            <v>34</v>
          </cell>
          <cell r="J239">
            <v>31</v>
          </cell>
          <cell r="L239">
            <v>1</v>
          </cell>
        </row>
        <row r="240">
          <cell r="B240">
            <v>2022</v>
          </cell>
          <cell r="C240">
            <v>2</v>
          </cell>
          <cell r="E240" t="str">
            <v>BUF</v>
          </cell>
          <cell r="I240">
            <v>10</v>
          </cell>
          <cell r="J240">
            <v>27</v>
          </cell>
          <cell r="L240">
            <v>1</v>
          </cell>
        </row>
        <row r="241">
          <cell r="B241">
            <v>2023</v>
          </cell>
          <cell r="C241">
            <v>1</v>
          </cell>
          <cell r="E241" t="str">
            <v>BUF</v>
          </cell>
          <cell r="I241">
            <v>16</v>
          </cell>
          <cell r="J241">
            <v>22</v>
          </cell>
          <cell r="L241">
            <v>0</v>
          </cell>
        </row>
        <row r="242">
          <cell r="B242">
            <v>2023</v>
          </cell>
          <cell r="C242">
            <v>2</v>
          </cell>
          <cell r="E242" t="str">
            <v>BUF</v>
          </cell>
          <cell r="I242">
            <v>38</v>
          </cell>
          <cell r="J242">
            <v>10</v>
          </cell>
          <cell r="L242">
            <v>0</v>
          </cell>
        </row>
        <row r="243">
          <cell r="B243">
            <v>2023</v>
          </cell>
          <cell r="C243">
            <v>3</v>
          </cell>
          <cell r="E243" t="str">
            <v>BUF</v>
          </cell>
          <cell r="I243">
            <v>37</v>
          </cell>
          <cell r="J243">
            <v>3</v>
          </cell>
          <cell r="L243">
            <v>0</v>
          </cell>
        </row>
        <row r="244">
          <cell r="B244">
            <v>2023</v>
          </cell>
          <cell r="C244">
            <v>4</v>
          </cell>
          <cell r="E244" t="str">
            <v>BUF</v>
          </cell>
          <cell r="I244">
            <v>48</v>
          </cell>
          <cell r="J244">
            <v>20</v>
          </cell>
          <cell r="L244">
            <v>0</v>
          </cell>
        </row>
        <row r="245">
          <cell r="B245">
            <v>2023</v>
          </cell>
          <cell r="C245">
            <v>5</v>
          </cell>
          <cell r="E245" t="str">
            <v>BUF</v>
          </cell>
          <cell r="I245">
            <v>20</v>
          </cell>
          <cell r="J245">
            <v>25</v>
          </cell>
          <cell r="L245">
            <v>0</v>
          </cell>
        </row>
        <row r="246">
          <cell r="B246">
            <v>2023</v>
          </cell>
          <cell r="C246">
            <v>6</v>
          </cell>
          <cell r="E246" t="str">
            <v>BUF</v>
          </cell>
          <cell r="I246">
            <v>14</v>
          </cell>
          <cell r="J246">
            <v>9</v>
          </cell>
          <cell r="L246">
            <v>0</v>
          </cell>
        </row>
        <row r="247">
          <cell r="B247">
            <v>2023</v>
          </cell>
          <cell r="C247">
            <v>7</v>
          </cell>
          <cell r="E247" t="str">
            <v>BUF</v>
          </cell>
          <cell r="I247">
            <v>25</v>
          </cell>
          <cell r="J247">
            <v>29</v>
          </cell>
          <cell r="L247">
            <v>0</v>
          </cell>
        </row>
        <row r="248">
          <cell r="B248">
            <v>2023</v>
          </cell>
          <cell r="C248">
            <v>8</v>
          </cell>
          <cell r="E248" t="str">
            <v>BUF</v>
          </cell>
          <cell r="I248">
            <v>24</v>
          </cell>
          <cell r="J248">
            <v>18</v>
          </cell>
          <cell r="L248">
            <v>0</v>
          </cell>
        </row>
        <row r="249">
          <cell r="B249">
            <v>2023</v>
          </cell>
          <cell r="C249">
            <v>9</v>
          </cell>
          <cell r="E249" t="str">
            <v>BUF</v>
          </cell>
          <cell r="I249">
            <v>18</v>
          </cell>
          <cell r="J249">
            <v>24</v>
          </cell>
          <cell r="L249">
            <v>0</v>
          </cell>
        </row>
        <row r="250">
          <cell r="B250">
            <v>2023</v>
          </cell>
          <cell r="C250">
            <v>10</v>
          </cell>
          <cell r="E250" t="str">
            <v>BUF</v>
          </cell>
          <cell r="I250">
            <v>22</v>
          </cell>
          <cell r="J250">
            <v>24</v>
          </cell>
          <cell r="L250">
            <v>0</v>
          </cell>
        </row>
        <row r="251">
          <cell r="B251">
            <v>2023</v>
          </cell>
          <cell r="C251">
            <v>11</v>
          </cell>
          <cell r="E251" t="str">
            <v>BUF</v>
          </cell>
          <cell r="I251">
            <v>32</v>
          </cell>
          <cell r="J251">
            <v>6</v>
          </cell>
          <cell r="L251">
            <v>0</v>
          </cell>
        </row>
        <row r="252">
          <cell r="B252">
            <v>2023</v>
          </cell>
          <cell r="C252">
            <v>12</v>
          </cell>
          <cell r="E252" t="str">
            <v>BUF</v>
          </cell>
          <cell r="I252">
            <v>34</v>
          </cell>
          <cell r="J252">
            <v>37</v>
          </cell>
          <cell r="L252">
            <v>0</v>
          </cell>
        </row>
        <row r="253">
          <cell r="B253">
            <v>2023</v>
          </cell>
          <cell r="C253">
            <v>14</v>
          </cell>
          <cell r="E253" t="str">
            <v>BUF</v>
          </cell>
          <cell r="I253">
            <v>20</v>
          </cell>
          <cell r="J253">
            <v>17</v>
          </cell>
          <cell r="L253">
            <v>0</v>
          </cell>
        </row>
        <row r="254">
          <cell r="B254">
            <v>2023</v>
          </cell>
          <cell r="C254">
            <v>15</v>
          </cell>
          <cell r="E254" t="str">
            <v>BUF</v>
          </cell>
          <cell r="I254">
            <v>31</v>
          </cell>
          <cell r="J254">
            <v>10</v>
          </cell>
          <cell r="L254">
            <v>0</v>
          </cell>
        </row>
        <row r="255">
          <cell r="B255">
            <v>2023</v>
          </cell>
          <cell r="C255">
            <v>16</v>
          </cell>
          <cell r="E255" t="str">
            <v>BUF</v>
          </cell>
          <cell r="I255">
            <v>24</v>
          </cell>
          <cell r="J255">
            <v>22</v>
          </cell>
          <cell r="L255">
            <v>0</v>
          </cell>
        </row>
        <row r="256">
          <cell r="B256">
            <v>2023</v>
          </cell>
          <cell r="C256">
            <v>17</v>
          </cell>
          <cell r="E256" t="str">
            <v>BUF</v>
          </cell>
          <cell r="I256">
            <v>27</v>
          </cell>
          <cell r="J256">
            <v>21</v>
          </cell>
          <cell r="L256">
            <v>0</v>
          </cell>
        </row>
        <row r="257">
          <cell r="B257">
            <v>2023</v>
          </cell>
          <cell r="C257">
            <v>18</v>
          </cell>
          <cell r="E257" t="str">
            <v>BUF</v>
          </cell>
          <cell r="I257">
            <v>21</v>
          </cell>
          <cell r="J257">
            <v>14</v>
          </cell>
          <cell r="L257">
            <v>0</v>
          </cell>
        </row>
        <row r="258">
          <cell r="B258">
            <v>2023</v>
          </cell>
          <cell r="C258">
            <v>1</v>
          </cell>
          <cell r="E258" t="str">
            <v>BUF</v>
          </cell>
          <cell r="I258">
            <v>31</v>
          </cell>
          <cell r="J258">
            <v>17</v>
          </cell>
          <cell r="L258">
            <v>1</v>
          </cell>
        </row>
        <row r="259">
          <cell r="B259">
            <v>2023</v>
          </cell>
          <cell r="C259">
            <v>2</v>
          </cell>
          <cell r="E259" t="str">
            <v>BUF</v>
          </cell>
          <cell r="I259">
            <v>24</v>
          </cell>
          <cell r="J259">
            <v>27</v>
          </cell>
          <cell r="L259">
            <v>1</v>
          </cell>
        </row>
        <row r="260">
          <cell r="B260">
            <v>2024</v>
          </cell>
          <cell r="C260">
            <v>1</v>
          </cell>
          <cell r="E260" t="str">
            <v>BUF</v>
          </cell>
          <cell r="I260">
            <v>34</v>
          </cell>
          <cell r="J260">
            <v>28</v>
          </cell>
          <cell r="L260">
            <v>0</v>
          </cell>
        </row>
        <row r="261">
          <cell r="B261">
            <v>2024</v>
          </cell>
          <cell r="C261">
            <v>2</v>
          </cell>
          <cell r="E261" t="str">
            <v>BUF</v>
          </cell>
          <cell r="I261">
            <v>31</v>
          </cell>
          <cell r="J261">
            <v>10</v>
          </cell>
          <cell r="L261">
            <v>0</v>
          </cell>
        </row>
        <row r="262">
          <cell r="B262">
            <v>2024</v>
          </cell>
          <cell r="C262">
            <v>3</v>
          </cell>
          <cell r="E262" t="str">
            <v>BUF</v>
          </cell>
          <cell r="I262">
            <v>47</v>
          </cell>
          <cell r="J262">
            <v>10</v>
          </cell>
          <cell r="L262">
            <v>0</v>
          </cell>
        </row>
        <row r="263">
          <cell r="B263">
            <v>2024</v>
          </cell>
          <cell r="C263">
            <v>4</v>
          </cell>
          <cell r="E263" t="str">
            <v>BUF</v>
          </cell>
          <cell r="I263">
            <v>10</v>
          </cell>
          <cell r="J263">
            <v>35</v>
          </cell>
          <cell r="L263">
            <v>0</v>
          </cell>
        </row>
        <row r="264">
          <cell r="B264">
            <v>2024</v>
          </cell>
          <cell r="C264">
            <v>5</v>
          </cell>
          <cell r="E264" t="str">
            <v>BUF</v>
          </cell>
          <cell r="I264">
            <v>20</v>
          </cell>
          <cell r="J264">
            <v>23</v>
          </cell>
          <cell r="L264">
            <v>0</v>
          </cell>
        </row>
        <row r="265">
          <cell r="B265">
            <v>2024</v>
          </cell>
          <cell r="C265">
            <v>6</v>
          </cell>
          <cell r="E265" t="str">
            <v>BUF</v>
          </cell>
          <cell r="I265">
            <v>23</v>
          </cell>
          <cell r="J265">
            <v>20</v>
          </cell>
          <cell r="L265">
            <v>0</v>
          </cell>
        </row>
        <row r="266">
          <cell r="B266">
            <v>2024</v>
          </cell>
          <cell r="C266">
            <v>7</v>
          </cell>
          <cell r="E266" t="str">
            <v>BUF</v>
          </cell>
          <cell r="I266">
            <v>34</v>
          </cell>
          <cell r="J266">
            <v>10</v>
          </cell>
          <cell r="L266">
            <v>0</v>
          </cell>
        </row>
        <row r="267">
          <cell r="B267">
            <v>2024</v>
          </cell>
          <cell r="C267">
            <v>8</v>
          </cell>
          <cell r="E267" t="str">
            <v>BUF</v>
          </cell>
          <cell r="I267">
            <v>31</v>
          </cell>
          <cell r="J267">
            <v>10</v>
          </cell>
          <cell r="L267">
            <v>0</v>
          </cell>
        </row>
        <row r="268">
          <cell r="B268">
            <v>2024</v>
          </cell>
          <cell r="C268">
            <v>9</v>
          </cell>
          <cell r="E268" t="str">
            <v>BUF</v>
          </cell>
          <cell r="I268">
            <v>30</v>
          </cell>
          <cell r="J268">
            <v>27</v>
          </cell>
          <cell r="L268">
            <v>0</v>
          </cell>
        </row>
        <row r="269">
          <cell r="B269">
            <v>2024</v>
          </cell>
          <cell r="C269">
            <v>10</v>
          </cell>
          <cell r="E269" t="str">
            <v>BUF</v>
          </cell>
          <cell r="I269">
            <v>30</v>
          </cell>
          <cell r="J269">
            <v>20</v>
          </cell>
          <cell r="L269">
            <v>0</v>
          </cell>
        </row>
        <row r="270">
          <cell r="B270">
            <v>2024</v>
          </cell>
          <cell r="C270">
            <v>11</v>
          </cell>
          <cell r="E270" t="str">
            <v>BUF</v>
          </cell>
          <cell r="I270">
            <v>30</v>
          </cell>
          <cell r="J270">
            <v>21</v>
          </cell>
          <cell r="L270">
            <v>0</v>
          </cell>
        </row>
        <row r="271">
          <cell r="B271">
            <v>2024</v>
          </cell>
          <cell r="C271">
            <v>13</v>
          </cell>
          <cell r="E271" t="str">
            <v>BUF</v>
          </cell>
          <cell r="I271">
            <v>35</v>
          </cell>
          <cell r="J271">
            <v>10</v>
          </cell>
          <cell r="L271">
            <v>0</v>
          </cell>
        </row>
        <row r="272">
          <cell r="B272">
            <v>2024</v>
          </cell>
          <cell r="C272">
            <v>14</v>
          </cell>
          <cell r="E272" t="str">
            <v>BUF</v>
          </cell>
          <cell r="I272">
            <v>42</v>
          </cell>
          <cell r="J272">
            <v>44</v>
          </cell>
          <cell r="L272">
            <v>0</v>
          </cell>
        </row>
        <row r="273">
          <cell r="B273">
            <v>2024</v>
          </cell>
          <cell r="C273">
            <v>15</v>
          </cell>
          <cell r="E273" t="str">
            <v>BUF</v>
          </cell>
          <cell r="I273">
            <v>48</v>
          </cell>
          <cell r="J273">
            <v>42</v>
          </cell>
          <cell r="L273">
            <v>0</v>
          </cell>
        </row>
        <row r="274">
          <cell r="B274">
            <v>2024</v>
          </cell>
          <cell r="C274">
            <v>16</v>
          </cell>
          <cell r="E274" t="str">
            <v>BUF</v>
          </cell>
          <cell r="I274">
            <v>24</v>
          </cell>
          <cell r="J274">
            <v>21</v>
          </cell>
          <cell r="L274">
            <v>0</v>
          </cell>
        </row>
        <row r="275">
          <cell r="B275">
            <v>2024</v>
          </cell>
          <cell r="C275">
            <v>17</v>
          </cell>
          <cell r="E275" t="str">
            <v>BUF</v>
          </cell>
          <cell r="I275">
            <v>40</v>
          </cell>
          <cell r="J275">
            <v>14</v>
          </cell>
          <cell r="L275">
            <v>0</v>
          </cell>
        </row>
        <row r="276">
          <cell r="B276">
            <v>2024</v>
          </cell>
          <cell r="C276">
            <v>18</v>
          </cell>
          <cell r="E276" t="str">
            <v>BUF</v>
          </cell>
          <cell r="I276">
            <v>16</v>
          </cell>
          <cell r="J276">
            <v>23</v>
          </cell>
          <cell r="L276">
            <v>0</v>
          </cell>
        </row>
        <row r="277">
          <cell r="B277">
            <v>2024</v>
          </cell>
          <cell r="C277">
            <v>1</v>
          </cell>
          <cell r="E277" t="str">
            <v>BUF</v>
          </cell>
          <cell r="I277">
            <v>31</v>
          </cell>
          <cell r="J277">
            <v>7</v>
          </cell>
          <cell r="L277">
            <v>1</v>
          </cell>
        </row>
        <row r="278">
          <cell r="B278">
            <v>2024</v>
          </cell>
          <cell r="C278">
            <v>2</v>
          </cell>
          <cell r="E278" t="str">
            <v>BUF</v>
          </cell>
          <cell r="I278">
            <v>27</v>
          </cell>
          <cell r="J278">
            <v>25</v>
          </cell>
          <cell r="L278">
            <v>1</v>
          </cell>
        </row>
        <row r="279">
          <cell r="B279">
            <v>2024</v>
          </cell>
          <cell r="C279">
            <v>3</v>
          </cell>
          <cell r="E279" t="str">
            <v>BUF</v>
          </cell>
          <cell r="I279">
            <v>29</v>
          </cell>
          <cell r="J279">
            <v>32</v>
          </cell>
          <cell r="L279">
            <v>1</v>
          </cell>
        </row>
        <row r="280">
          <cell r="B280">
            <v>2025</v>
          </cell>
          <cell r="C280">
            <v>1</v>
          </cell>
          <cell r="E280" t="str">
            <v>BUF</v>
          </cell>
          <cell r="I280">
            <v>41</v>
          </cell>
          <cell r="J280">
            <v>40</v>
          </cell>
          <cell r="L280">
            <v>0</v>
          </cell>
        </row>
        <row r="281">
          <cell r="B281">
            <v>2025</v>
          </cell>
          <cell r="C281">
            <v>2</v>
          </cell>
          <cell r="E281" t="str">
            <v>BUF</v>
          </cell>
          <cell r="I281">
            <v>30</v>
          </cell>
          <cell r="J281">
            <v>10</v>
          </cell>
          <cell r="L281">
            <v>0</v>
          </cell>
        </row>
        <row r="282">
          <cell r="B282">
            <v>2025</v>
          </cell>
          <cell r="C282">
            <v>3</v>
          </cell>
          <cell r="E282" t="str">
            <v>BUF</v>
          </cell>
          <cell r="I282">
            <v>31</v>
          </cell>
          <cell r="J282">
            <v>21</v>
          </cell>
          <cell r="L282">
            <v>0</v>
          </cell>
        </row>
        <row r="283">
          <cell r="B283">
            <v>2025</v>
          </cell>
          <cell r="C283">
            <v>4</v>
          </cell>
          <cell r="E283" t="str">
            <v>BUF</v>
          </cell>
          <cell r="I283">
            <v>31</v>
          </cell>
          <cell r="J283">
            <v>19</v>
          </cell>
          <cell r="L283">
            <v>0</v>
          </cell>
        </row>
        <row r="284">
          <cell r="B284">
            <v>2025</v>
          </cell>
          <cell r="C284">
            <v>5</v>
          </cell>
          <cell r="E284" t="str">
            <v>BUF</v>
          </cell>
          <cell r="I284">
            <v>20</v>
          </cell>
          <cell r="J284">
            <v>23</v>
          </cell>
          <cell r="L284">
            <v>0</v>
          </cell>
        </row>
        <row r="285">
          <cell r="B285">
            <v>2025</v>
          </cell>
          <cell r="C285">
            <v>6</v>
          </cell>
          <cell r="E285" t="str">
            <v>BUF</v>
          </cell>
          <cell r="I285">
            <v>14</v>
          </cell>
          <cell r="J285">
            <v>24</v>
          </cell>
          <cell r="L285">
            <v>0</v>
          </cell>
        </row>
        <row r="286">
          <cell r="B286">
            <v>2025</v>
          </cell>
          <cell r="C286">
            <v>8</v>
          </cell>
          <cell r="E286" t="str">
            <v>BUF</v>
          </cell>
          <cell r="I286">
            <v>40</v>
          </cell>
          <cell r="J286">
            <v>9</v>
          </cell>
          <cell r="L286">
            <v>0</v>
          </cell>
        </row>
        <row r="287">
          <cell r="B287">
            <v>2025</v>
          </cell>
          <cell r="C287">
            <v>9</v>
          </cell>
          <cell r="E287" t="str">
            <v>BUF</v>
          </cell>
          <cell r="I287">
            <v>28</v>
          </cell>
          <cell r="J287">
            <v>21</v>
          </cell>
          <cell r="L287">
            <v>0</v>
          </cell>
        </row>
        <row r="288">
          <cell r="B288">
            <v>2025</v>
          </cell>
          <cell r="C288">
            <v>10</v>
          </cell>
          <cell r="E288" t="str">
            <v>BUF</v>
          </cell>
          <cell r="I288">
            <v>13</v>
          </cell>
          <cell r="J288">
            <v>30</v>
          </cell>
          <cell r="L288">
            <v>0</v>
          </cell>
        </row>
        <row r="289">
          <cell r="B289">
            <v>2025</v>
          </cell>
          <cell r="C289">
            <v>11</v>
          </cell>
          <cell r="E289" t="str">
            <v>BUF</v>
          </cell>
          <cell r="I289">
            <v>44</v>
          </cell>
          <cell r="J289">
            <v>32</v>
          </cell>
          <cell r="L289">
            <v>0</v>
          </cell>
        </row>
        <row r="290">
          <cell r="B290">
            <v>2025</v>
          </cell>
          <cell r="C290">
            <v>12</v>
          </cell>
          <cell r="E290" t="str">
            <v>BUF</v>
          </cell>
          <cell r="I290">
            <v>19</v>
          </cell>
          <cell r="J290">
            <v>23</v>
          </cell>
          <cell r="L290">
            <v>0</v>
          </cell>
        </row>
        <row r="291">
          <cell r="B291">
            <v>2025</v>
          </cell>
          <cell r="C291">
            <v>13</v>
          </cell>
          <cell r="E291" t="str">
            <v>BUF</v>
          </cell>
          <cell r="I291">
            <v>26</v>
          </cell>
          <cell r="J291">
            <v>7</v>
          </cell>
          <cell r="L291">
            <v>0</v>
          </cell>
        </row>
        <row r="292">
          <cell r="B292">
            <v>2025</v>
          </cell>
          <cell r="C292">
            <v>14</v>
          </cell>
          <cell r="E292" t="str">
            <v>BUF</v>
          </cell>
          <cell r="I292">
            <v>39</v>
          </cell>
          <cell r="J292">
            <v>34</v>
          </cell>
          <cell r="L292">
            <v>0</v>
          </cell>
        </row>
        <row r="293">
          <cell r="B293">
            <v>2025</v>
          </cell>
          <cell r="C293">
            <v>15</v>
          </cell>
          <cell r="E293" t="str">
            <v>BUF</v>
          </cell>
          <cell r="I293">
            <v>35</v>
          </cell>
          <cell r="J293">
            <v>31</v>
          </cell>
          <cell r="L293">
            <v>0</v>
          </cell>
        </row>
        <row r="294">
          <cell r="B294">
            <v>2025</v>
          </cell>
          <cell r="C294">
            <v>16</v>
          </cell>
          <cell r="E294" t="str">
            <v>BUF</v>
          </cell>
          <cell r="I294">
            <v>23</v>
          </cell>
          <cell r="J294">
            <v>20</v>
          </cell>
          <cell r="L294">
            <v>0</v>
          </cell>
        </row>
        <row r="295">
          <cell r="B295">
            <v>2025</v>
          </cell>
          <cell r="C295">
            <v>17</v>
          </cell>
          <cell r="E295" t="str">
            <v>BUF</v>
          </cell>
          <cell r="I295">
            <v>12</v>
          </cell>
          <cell r="J295">
            <v>13</v>
          </cell>
          <cell r="L295">
            <v>0</v>
          </cell>
        </row>
        <row r="296">
          <cell r="B296">
            <v>2025</v>
          </cell>
          <cell r="C296">
            <v>18</v>
          </cell>
          <cell r="E296" t="str">
            <v>BUF</v>
          </cell>
          <cell r="I296">
            <v>35</v>
          </cell>
          <cell r="J296">
            <v>8</v>
          </cell>
          <cell r="L296">
            <v>0</v>
          </cell>
        </row>
        <row r="297">
          <cell r="B297">
            <v>2025</v>
          </cell>
          <cell r="C297">
            <v>1</v>
          </cell>
          <cell r="E297" t="str">
            <v>BUF</v>
          </cell>
          <cell r="I297">
            <v>27</v>
          </cell>
          <cell r="J297">
            <v>24</v>
          </cell>
          <cell r="L297">
            <v>1</v>
          </cell>
        </row>
        <row r="298">
          <cell r="B298">
            <v>2025</v>
          </cell>
          <cell r="C298">
            <v>2</v>
          </cell>
          <cell r="E298" t="str">
            <v>BUF</v>
          </cell>
          <cell r="I298">
            <v>30</v>
          </cell>
          <cell r="J298">
            <v>33</v>
          </cell>
          <cell r="L298">
            <v>1</v>
          </cell>
        </row>
        <row r="299">
          <cell r="B299">
            <v>2026</v>
          </cell>
          <cell r="C299">
            <v>1</v>
          </cell>
          <cell r="E299" t="str">
            <v>BUF</v>
          </cell>
          <cell r="I299">
            <v>36</v>
          </cell>
          <cell r="J299">
            <v>31</v>
          </cell>
          <cell r="L299">
            <v>0</v>
          </cell>
        </row>
        <row r="300">
          <cell r="B300">
            <v>2026</v>
          </cell>
          <cell r="C300">
            <v>2</v>
          </cell>
          <cell r="E300" t="str">
            <v>BUF</v>
          </cell>
          <cell r="I300">
            <v>41</v>
          </cell>
          <cell r="J300">
            <v>31</v>
          </cell>
          <cell r="L300">
            <v>0</v>
          </cell>
        </row>
        <row r="301">
          <cell r="B301">
            <v>2026</v>
          </cell>
          <cell r="C301">
            <v>3</v>
          </cell>
          <cell r="E301" t="str">
            <v>BUF</v>
          </cell>
          <cell r="I301">
            <v>24</v>
          </cell>
          <cell r="J301">
            <v>16</v>
          </cell>
          <cell r="L301">
            <v>0</v>
          </cell>
        </row>
        <row r="302">
          <cell r="B302">
            <v>2026</v>
          </cell>
          <cell r="C302">
            <v>4</v>
          </cell>
          <cell r="E302" t="str">
            <v>BUF</v>
          </cell>
          <cell r="I302">
            <v>26</v>
          </cell>
          <cell r="J302">
            <v>29</v>
          </cell>
          <cell r="L302">
            <v>0</v>
          </cell>
        </row>
        <row r="303">
          <cell r="B303">
            <v>2026</v>
          </cell>
          <cell r="C303">
            <v>5</v>
          </cell>
          <cell r="E303" t="str">
            <v>BUF</v>
          </cell>
          <cell r="I303">
            <v>37</v>
          </cell>
          <cell r="J303">
            <v>34</v>
          </cell>
          <cell r="L303">
            <v>0</v>
          </cell>
        </row>
        <row r="304">
          <cell r="B304">
            <v>2026</v>
          </cell>
          <cell r="C304">
            <v>6</v>
          </cell>
          <cell r="E304" t="str">
            <v>BUF</v>
          </cell>
          <cell r="I304">
            <v>33</v>
          </cell>
          <cell r="J304">
            <v>30</v>
          </cell>
          <cell r="L304">
            <v>0</v>
          </cell>
        </row>
        <row r="305">
          <cell r="B305">
            <v>2018</v>
          </cell>
          <cell r="C305">
            <v>1</v>
          </cell>
          <cell r="E305" t="str">
            <v>NYJ</v>
          </cell>
          <cell r="I305">
            <v>48</v>
          </cell>
          <cell r="J305">
            <v>17</v>
          </cell>
          <cell r="L305">
            <v>0</v>
          </cell>
        </row>
        <row r="306">
          <cell r="B306">
            <v>2018</v>
          </cell>
          <cell r="C306">
            <v>2</v>
          </cell>
          <cell r="E306" t="str">
            <v>NYJ</v>
          </cell>
          <cell r="I306">
            <v>12</v>
          </cell>
          <cell r="J306">
            <v>20</v>
          </cell>
          <cell r="L306">
            <v>0</v>
          </cell>
        </row>
        <row r="307">
          <cell r="B307">
            <v>2018</v>
          </cell>
          <cell r="C307">
            <v>3</v>
          </cell>
          <cell r="E307" t="str">
            <v>NYJ</v>
          </cell>
          <cell r="I307">
            <v>17</v>
          </cell>
          <cell r="J307">
            <v>21</v>
          </cell>
          <cell r="L307">
            <v>0</v>
          </cell>
        </row>
        <row r="308">
          <cell r="B308">
            <v>2018</v>
          </cell>
          <cell r="C308">
            <v>4</v>
          </cell>
          <cell r="E308" t="str">
            <v>NYJ</v>
          </cell>
          <cell r="I308">
            <v>12</v>
          </cell>
          <cell r="J308">
            <v>31</v>
          </cell>
          <cell r="L308">
            <v>0</v>
          </cell>
        </row>
        <row r="309">
          <cell r="B309">
            <v>2018</v>
          </cell>
          <cell r="C309">
            <v>5</v>
          </cell>
          <cell r="E309" t="str">
            <v>NYJ</v>
          </cell>
          <cell r="I309">
            <v>34</v>
          </cell>
          <cell r="J309">
            <v>16</v>
          </cell>
          <cell r="L309">
            <v>0</v>
          </cell>
        </row>
        <row r="310">
          <cell r="B310">
            <v>2018</v>
          </cell>
          <cell r="C310">
            <v>6</v>
          </cell>
          <cell r="E310" t="str">
            <v>NYJ</v>
          </cell>
          <cell r="I310">
            <v>42</v>
          </cell>
          <cell r="J310">
            <v>34</v>
          </cell>
          <cell r="L310">
            <v>0</v>
          </cell>
        </row>
        <row r="311">
          <cell r="B311">
            <v>2018</v>
          </cell>
          <cell r="C311">
            <v>7</v>
          </cell>
          <cell r="E311" t="str">
            <v>NYJ</v>
          </cell>
          <cell r="I311">
            <v>17</v>
          </cell>
          <cell r="J311">
            <v>37</v>
          </cell>
          <cell r="L311">
            <v>0</v>
          </cell>
        </row>
        <row r="312">
          <cell r="B312">
            <v>2018</v>
          </cell>
          <cell r="C312">
            <v>8</v>
          </cell>
          <cell r="E312" t="str">
            <v>NYJ</v>
          </cell>
          <cell r="I312">
            <v>10</v>
          </cell>
          <cell r="J312">
            <v>24</v>
          </cell>
          <cell r="L312">
            <v>0</v>
          </cell>
        </row>
        <row r="313">
          <cell r="B313">
            <v>2018</v>
          </cell>
          <cell r="C313">
            <v>9</v>
          </cell>
          <cell r="E313" t="str">
            <v>NYJ</v>
          </cell>
          <cell r="I313">
            <v>6</v>
          </cell>
          <cell r="J313">
            <v>13</v>
          </cell>
          <cell r="L313">
            <v>0</v>
          </cell>
        </row>
        <row r="314">
          <cell r="B314">
            <v>2018</v>
          </cell>
          <cell r="C314">
            <v>10</v>
          </cell>
          <cell r="E314" t="str">
            <v>NYJ</v>
          </cell>
          <cell r="I314">
            <v>10</v>
          </cell>
          <cell r="J314">
            <v>41</v>
          </cell>
          <cell r="L314">
            <v>0</v>
          </cell>
        </row>
        <row r="315">
          <cell r="B315">
            <v>2018</v>
          </cell>
          <cell r="C315">
            <v>12</v>
          </cell>
          <cell r="E315" t="str">
            <v>NYJ</v>
          </cell>
          <cell r="I315">
            <v>13</v>
          </cell>
          <cell r="J315">
            <v>27</v>
          </cell>
          <cell r="L315">
            <v>0</v>
          </cell>
        </row>
        <row r="316">
          <cell r="B316">
            <v>2018</v>
          </cell>
          <cell r="C316">
            <v>13</v>
          </cell>
          <cell r="E316" t="str">
            <v>NYJ</v>
          </cell>
          <cell r="I316">
            <v>22</v>
          </cell>
          <cell r="J316">
            <v>26</v>
          </cell>
          <cell r="L316">
            <v>0</v>
          </cell>
        </row>
        <row r="317">
          <cell r="B317">
            <v>2018</v>
          </cell>
          <cell r="C317">
            <v>14</v>
          </cell>
          <cell r="E317" t="str">
            <v>NYJ</v>
          </cell>
          <cell r="I317">
            <v>27</v>
          </cell>
          <cell r="J317">
            <v>23</v>
          </cell>
          <cell r="L317">
            <v>0</v>
          </cell>
        </row>
        <row r="318">
          <cell r="B318">
            <v>2018</v>
          </cell>
          <cell r="C318">
            <v>15</v>
          </cell>
          <cell r="E318" t="str">
            <v>NYJ</v>
          </cell>
          <cell r="I318">
            <v>22</v>
          </cell>
          <cell r="J318">
            <v>29</v>
          </cell>
          <cell r="L318">
            <v>0</v>
          </cell>
        </row>
        <row r="319">
          <cell r="B319">
            <v>2018</v>
          </cell>
          <cell r="C319">
            <v>16</v>
          </cell>
          <cell r="E319" t="str">
            <v>NYJ</v>
          </cell>
          <cell r="I319">
            <v>38</v>
          </cell>
          <cell r="J319">
            <v>44</v>
          </cell>
          <cell r="L319">
            <v>0</v>
          </cell>
        </row>
        <row r="320">
          <cell r="B320">
            <v>2018</v>
          </cell>
          <cell r="C320">
            <v>17</v>
          </cell>
          <cell r="E320" t="str">
            <v>NYJ</v>
          </cell>
          <cell r="I320">
            <v>3</v>
          </cell>
          <cell r="J320">
            <v>38</v>
          </cell>
          <cell r="L320">
            <v>0</v>
          </cell>
        </row>
        <row r="321">
          <cell r="B321">
            <v>2019</v>
          </cell>
          <cell r="C321">
            <v>1</v>
          </cell>
          <cell r="E321" t="str">
            <v>NYJ</v>
          </cell>
          <cell r="I321">
            <v>16</v>
          </cell>
          <cell r="J321">
            <v>17</v>
          </cell>
          <cell r="L321">
            <v>0</v>
          </cell>
        </row>
        <row r="322">
          <cell r="B322">
            <v>2019</v>
          </cell>
          <cell r="C322">
            <v>2</v>
          </cell>
          <cell r="E322" t="str">
            <v>NYJ</v>
          </cell>
          <cell r="I322">
            <v>3</v>
          </cell>
          <cell r="J322">
            <v>23</v>
          </cell>
          <cell r="L322">
            <v>0</v>
          </cell>
        </row>
        <row r="323">
          <cell r="B323">
            <v>2019</v>
          </cell>
          <cell r="C323">
            <v>3</v>
          </cell>
          <cell r="E323" t="str">
            <v>NYJ</v>
          </cell>
          <cell r="I323">
            <v>14</v>
          </cell>
          <cell r="J323">
            <v>30</v>
          </cell>
          <cell r="L323">
            <v>0</v>
          </cell>
        </row>
        <row r="324">
          <cell r="B324">
            <v>2019</v>
          </cell>
          <cell r="C324">
            <v>5</v>
          </cell>
          <cell r="E324" t="str">
            <v>NYJ</v>
          </cell>
          <cell r="I324">
            <v>6</v>
          </cell>
          <cell r="J324">
            <v>31</v>
          </cell>
          <cell r="L324">
            <v>0</v>
          </cell>
        </row>
        <row r="325">
          <cell r="B325">
            <v>2019</v>
          </cell>
          <cell r="C325">
            <v>6</v>
          </cell>
          <cell r="E325" t="str">
            <v>NYJ</v>
          </cell>
          <cell r="I325">
            <v>24</v>
          </cell>
          <cell r="J325">
            <v>22</v>
          </cell>
          <cell r="L325">
            <v>0</v>
          </cell>
        </row>
        <row r="326">
          <cell r="B326">
            <v>2019</v>
          </cell>
          <cell r="C326">
            <v>7</v>
          </cell>
          <cell r="E326" t="str">
            <v>NYJ</v>
          </cell>
          <cell r="I326">
            <v>0</v>
          </cell>
          <cell r="J326">
            <v>33</v>
          </cell>
          <cell r="L326">
            <v>0</v>
          </cell>
        </row>
        <row r="327">
          <cell r="B327">
            <v>2019</v>
          </cell>
          <cell r="C327">
            <v>8</v>
          </cell>
          <cell r="E327" t="str">
            <v>NYJ</v>
          </cell>
          <cell r="I327">
            <v>15</v>
          </cell>
          <cell r="J327">
            <v>29</v>
          </cell>
          <cell r="L327">
            <v>0</v>
          </cell>
        </row>
        <row r="328">
          <cell r="B328">
            <v>2019</v>
          </cell>
          <cell r="C328">
            <v>9</v>
          </cell>
          <cell r="E328" t="str">
            <v>NYJ</v>
          </cell>
          <cell r="I328">
            <v>18</v>
          </cell>
          <cell r="J328">
            <v>26</v>
          </cell>
          <cell r="L328">
            <v>0</v>
          </cell>
        </row>
        <row r="329">
          <cell r="B329">
            <v>2019</v>
          </cell>
          <cell r="C329">
            <v>10</v>
          </cell>
          <cell r="E329" t="str">
            <v>NYJ</v>
          </cell>
          <cell r="I329">
            <v>34</v>
          </cell>
          <cell r="J329">
            <v>27</v>
          </cell>
          <cell r="L329">
            <v>0</v>
          </cell>
        </row>
        <row r="330">
          <cell r="B330">
            <v>2019</v>
          </cell>
          <cell r="C330">
            <v>11</v>
          </cell>
          <cell r="E330" t="str">
            <v>NYJ</v>
          </cell>
          <cell r="I330">
            <v>34</v>
          </cell>
          <cell r="J330">
            <v>17</v>
          </cell>
          <cell r="L330">
            <v>0</v>
          </cell>
        </row>
        <row r="331">
          <cell r="B331">
            <v>2019</v>
          </cell>
          <cell r="C331">
            <v>12</v>
          </cell>
          <cell r="E331" t="str">
            <v>NYJ</v>
          </cell>
          <cell r="I331">
            <v>34</v>
          </cell>
          <cell r="J331">
            <v>3</v>
          </cell>
          <cell r="L331">
            <v>0</v>
          </cell>
        </row>
        <row r="332">
          <cell r="B332">
            <v>2019</v>
          </cell>
          <cell r="C332">
            <v>13</v>
          </cell>
          <cell r="E332" t="str">
            <v>NYJ</v>
          </cell>
          <cell r="I332">
            <v>6</v>
          </cell>
          <cell r="J332">
            <v>22</v>
          </cell>
          <cell r="L332">
            <v>0</v>
          </cell>
        </row>
        <row r="333">
          <cell r="B333">
            <v>2019</v>
          </cell>
          <cell r="C333">
            <v>14</v>
          </cell>
          <cell r="E333" t="str">
            <v>NYJ</v>
          </cell>
          <cell r="I333">
            <v>22</v>
          </cell>
          <cell r="J333">
            <v>21</v>
          </cell>
          <cell r="L333">
            <v>0</v>
          </cell>
        </row>
        <row r="334">
          <cell r="B334">
            <v>2019</v>
          </cell>
          <cell r="C334">
            <v>15</v>
          </cell>
          <cell r="E334" t="str">
            <v>NYJ</v>
          </cell>
          <cell r="I334">
            <v>21</v>
          </cell>
          <cell r="J334">
            <v>42</v>
          </cell>
          <cell r="L334">
            <v>0</v>
          </cell>
        </row>
        <row r="335">
          <cell r="B335">
            <v>2019</v>
          </cell>
          <cell r="C335">
            <v>16</v>
          </cell>
          <cell r="E335" t="str">
            <v>NYJ</v>
          </cell>
          <cell r="I335">
            <v>16</v>
          </cell>
          <cell r="J335">
            <v>10</v>
          </cell>
          <cell r="L335">
            <v>0</v>
          </cell>
        </row>
        <row r="336">
          <cell r="B336">
            <v>2019</v>
          </cell>
          <cell r="C336">
            <v>17</v>
          </cell>
          <cell r="E336" t="str">
            <v>NYJ</v>
          </cell>
          <cell r="I336">
            <v>13</v>
          </cell>
          <cell r="J336">
            <v>6</v>
          </cell>
          <cell r="L336">
            <v>0</v>
          </cell>
        </row>
        <row r="337">
          <cell r="B337">
            <v>2020</v>
          </cell>
          <cell r="C337">
            <v>1</v>
          </cell>
          <cell r="E337" t="str">
            <v>NYJ</v>
          </cell>
          <cell r="I337">
            <v>17</v>
          </cell>
          <cell r="J337">
            <v>27</v>
          </cell>
          <cell r="L337">
            <v>0</v>
          </cell>
        </row>
        <row r="338">
          <cell r="B338">
            <v>2020</v>
          </cell>
          <cell r="C338">
            <v>2</v>
          </cell>
          <cell r="E338" t="str">
            <v>NYJ</v>
          </cell>
          <cell r="I338">
            <v>13</v>
          </cell>
          <cell r="J338">
            <v>31</v>
          </cell>
          <cell r="L338">
            <v>0</v>
          </cell>
        </row>
        <row r="339">
          <cell r="B339">
            <v>2020</v>
          </cell>
          <cell r="C339">
            <v>3</v>
          </cell>
          <cell r="E339" t="str">
            <v>NYJ</v>
          </cell>
          <cell r="I339">
            <v>7</v>
          </cell>
          <cell r="J339">
            <v>36</v>
          </cell>
          <cell r="L339">
            <v>0</v>
          </cell>
        </row>
        <row r="340">
          <cell r="B340">
            <v>2020</v>
          </cell>
          <cell r="C340">
            <v>4</v>
          </cell>
          <cell r="E340" t="str">
            <v>NYJ</v>
          </cell>
          <cell r="I340">
            <v>28</v>
          </cell>
          <cell r="J340">
            <v>37</v>
          </cell>
          <cell r="L340">
            <v>0</v>
          </cell>
        </row>
        <row r="341">
          <cell r="B341">
            <v>2020</v>
          </cell>
          <cell r="C341">
            <v>5</v>
          </cell>
          <cell r="E341" t="str">
            <v>NYJ</v>
          </cell>
          <cell r="I341">
            <v>10</v>
          </cell>
          <cell r="J341">
            <v>30</v>
          </cell>
          <cell r="L341">
            <v>0</v>
          </cell>
        </row>
        <row r="342">
          <cell r="B342">
            <v>2020</v>
          </cell>
          <cell r="C342">
            <v>6</v>
          </cell>
          <cell r="E342" t="str">
            <v>NYJ</v>
          </cell>
          <cell r="I342">
            <v>0</v>
          </cell>
          <cell r="J342">
            <v>24</v>
          </cell>
          <cell r="L342">
            <v>0</v>
          </cell>
        </row>
        <row r="343">
          <cell r="B343">
            <v>2020</v>
          </cell>
          <cell r="C343">
            <v>7</v>
          </cell>
          <cell r="E343" t="str">
            <v>NYJ</v>
          </cell>
          <cell r="I343">
            <v>10</v>
          </cell>
          <cell r="J343">
            <v>18</v>
          </cell>
          <cell r="L343">
            <v>0</v>
          </cell>
        </row>
        <row r="344">
          <cell r="B344">
            <v>2020</v>
          </cell>
          <cell r="C344">
            <v>8</v>
          </cell>
          <cell r="E344" t="str">
            <v>NYJ</v>
          </cell>
          <cell r="I344">
            <v>9</v>
          </cell>
          <cell r="J344">
            <v>35</v>
          </cell>
          <cell r="L344">
            <v>0</v>
          </cell>
        </row>
        <row r="345">
          <cell r="B345">
            <v>2020</v>
          </cell>
          <cell r="C345">
            <v>9</v>
          </cell>
          <cell r="E345" t="str">
            <v>NYJ</v>
          </cell>
          <cell r="I345">
            <v>27</v>
          </cell>
          <cell r="J345">
            <v>30</v>
          </cell>
          <cell r="L345">
            <v>0</v>
          </cell>
        </row>
        <row r="346">
          <cell r="B346">
            <v>2020</v>
          </cell>
          <cell r="C346">
            <v>11</v>
          </cell>
          <cell r="E346" t="str">
            <v>NYJ</v>
          </cell>
          <cell r="I346">
            <v>28</v>
          </cell>
          <cell r="J346">
            <v>34</v>
          </cell>
          <cell r="L346">
            <v>0</v>
          </cell>
        </row>
        <row r="347">
          <cell r="B347">
            <v>2020</v>
          </cell>
          <cell r="C347">
            <v>12</v>
          </cell>
          <cell r="E347" t="str">
            <v>NYJ</v>
          </cell>
          <cell r="I347">
            <v>3</v>
          </cell>
          <cell r="J347">
            <v>20</v>
          </cell>
          <cell r="L347">
            <v>0</v>
          </cell>
        </row>
        <row r="348">
          <cell r="B348">
            <v>2020</v>
          </cell>
          <cell r="C348">
            <v>13</v>
          </cell>
          <cell r="E348" t="str">
            <v>NYJ</v>
          </cell>
          <cell r="I348">
            <v>28</v>
          </cell>
          <cell r="J348">
            <v>31</v>
          </cell>
          <cell r="L348">
            <v>0</v>
          </cell>
        </row>
        <row r="349">
          <cell r="B349">
            <v>2020</v>
          </cell>
          <cell r="C349">
            <v>14</v>
          </cell>
          <cell r="E349" t="str">
            <v>NYJ</v>
          </cell>
          <cell r="I349">
            <v>3</v>
          </cell>
          <cell r="J349">
            <v>40</v>
          </cell>
          <cell r="L349">
            <v>0</v>
          </cell>
        </row>
        <row r="350">
          <cell r="B350">
            <v>2020</v>
          </cell>
          <cell r="C350">
            <v>15</v>
          </cell>
          <cell r="E350" t="str">
            <v>NYJ</v>
          </cell>
          <cell r="I350">
            <v>23</v>
          </cell>
          <cell r="J350">
            <v>20</v>
          </cell>
          <cell r="L350">
            <v>0</v>
          </cell>
        </row>
        <row r="351">
          <cell r="B351">
            <v>2020</v>
          </cell>
          <cell r="C351">
            <v>16</v>
          </cell>
          <cell r="E351" t="str">
            <v>NYJ</v>
          </cell>
          <cell r="I351">
            <v>23</v>
          </cell>
          <cell r="J351">
            <v>16</v>
          </cell>
          <cell r="L351">
            <v>0</v>
          </cell>
        </row>
        <row r="352">
          <cell r="B352">
            <v>2020</v>
          </cell>
          <cell r="C352">
            <v>17</v>
          </cell>
          <cell r="E352" t="str">
            <v>NYJ</v>
          </cell>
          <cell r="I352">
            <v>14</v>
          </cell>
          <cell r="J352">
            <v>28</v>
          </cell>
          <cell r="L352">
            <v>0</v>
          </cell>
        </row>
        <row r="353">
          <cell r="B353">
            <v>2021</v>
          </cell>
          <cell r="C353">
            <v>1</v>
          </cell>
          <cell r="E353" t="str">
            <v>NYJ</v>
          </cell>
          <cell r="I353">
            <v>14</v>
          </cell>
          <cell r="J353">
            <v>19</v>
          </cell>
          <cell r="L353">
            <v>0</v>
          </cell>
        </row>
        <row r="354">
          <cell r="B354">
            <v>2021</v>
          </cell>
          <cell r="C354">
            <v>2</v>
          </cell>
          <cell r="E354" t="str">
            <v>NYJ</v>
          </cell>
          <cell r="I354">
            <v>6</v>
          </cell>
          <cell r="J354">
            <v>25</v>
          </cell>
          <cell r="L354">
            <v>0</v>
          </cell>
        </row>
        <row r="355">
          <cell r="B355">
            <v>2021</v>
          </cell>
          <cell r="C355">
            <v>3</v>
          </cell>
          <cell r="E355" t="str">
            <v>NYJ</v>
          </cell>
          <cell r="I355">
            <v>0</v>
          </cell>
          <cell r="J355">
            <v>26</v>
          </cell>
          <cell r="L355">
            <v>0</v>
          </cell>
        </row>
        <row r="356">
          <cell r="B356">
            <v>2021</v>
          </cell>
          <cell r="C356">
            <v>4</v>
          </cell>
          <cell r="E356" t="str">
            <v>NYJ</v>
          </cell>
          <cell r="I356">
            <v>27</v>
          </cell>
          <cell r="J356">
            <v>24</v>
          </cell>
          <cell r="L356">
            <v>0</v>
          </cell>
        </row>
        <row r="357">
          <cell r="B357">
            <v>2021</v>
          </cell>
          <cell r="C357">
            <v>5</v>
          </cell>
          <cell r="E357" t="str">
            <v>NYJ</v>
          </cell>
          <cell r="I357">
            <v>20</v>
          </cell>
          <cell r="J357">
            <v>27</v>
          </cell>
          <cell r="L357">
            <v>0</v>
          </cell>
        </row>
        <row r="358">
          <cell r="B358">
            <v>2021</v>
          </cell>
          <cell r="C358">
            <v>7</v>
          </cell>
          <cell r="E358" t="str">
            <v>NYJ</v>
          </cell>
          <cell r="I358">
            <v>13</v>
          </cell>
          <cell r="J358">
            <v>54</v>
          </cell>
          <cell r="L358">
            <v>0</v>
          </cell>
        </row>
        <row r="359">
          <cell r="B359">
            <v>2021</v>
          </cell>
          <cell r="C359">
            <v>8</v>
          </cell>
          <cell r="E359" t="str">
            <v>NYJ</v>
          </cell>
          <cell r="I359">
            <v>34</v>
          </cell>
          <cell r="J359">
            <v>31</v>
          </cell>
          <cell r="L359">
            <v>0</v>
          </cell>
        </row>
        <row r="360">
          <cell r="B360">
            <v>2021</v>
          </cell>
          <cell r="C360">
            <v>9</v>
          </cell>
          <cell r="E360" t="str">
            <v>NYJ</v>
          </cell>
          <cell r="I360">
            <v>30</v>
          </cell>
          <cell r="J360">
            <v>45</v>
          </cell>
          <cell r="L360">
            <v>0</v>
          </cell>
        </row>
        <row r="361">
          <cell r="B361">
            <v>2021</v>
          </cell>
          <cell r="C361">
            <v>10</v>
          </cell>
          <cell r="E361" t="str">
            <v>NYJ</v>
          </cell>
          <cell r="I361">
            <v>17</v>
          </cell>
          <cell r="J361">
            <v>45</v>
          </cell>
          <cell r="L361">
            <v>0</v>
          </cell>
        </row>
        <row r="362">
          <cell r="B362">
            <v>2021</v>
          </cell>
          <cell r="C362">
            <v>11</v>
          </cell>
          <cell r="E362" t="str">
            <v>NYJ</v>
          </cell>
          <cell r="I362">
            <v>17</v>
          </cell>
          <cell r="J362">
            <v>24</v>
          </cell>
          <cell r="L362">
            <v>0</v>
          </cell>
        </row>
        <row r="363">
          <cell r="B363">
            <v>2021</v>
          </cell>
          <cell r="C363">
            <v>12</v>
          </cell>
          <cell r="E363" t="str">
            <v>NYJ</v>
          </cell>
          <cell r="I363">
            <v>21</v>
          </cell>
          <cell r="J363">
            <v>14</v>
          </cell>
          <cell r="L363">
            <v>0</v>
          </cell>
        </row>
        <row r="364">
          <cell r="B364">
            <v>2021</v>
          </cell>
          <cell r="C364">
            <v>13</v>
          </cell>
          <cell r="E364" t="str">
            <v>NYJ</v>
          </cell>
          <cell r="I364">
            <v>18</v>
          </cell>
          <cell r="J364">
            <v>33</v>
          </cell>
          <cell r="L364">
            <v>0</v>
          </cell>
        </row>
        <row r="365">
          <cell r="B365">
            <v>2021</v>
          </cell>
          <cell r="C365">
            <v>14</v>
          </cell>
          <cell r="E365" t="str">
            <v>NYJ</v>
          </cell>
          <cell r="I365">
            <v>9</v>
          </cell>
          <cell r="J365">
            <v>30</v>
          </cell>
          <cell r="L365">
            <v>0</v>
          </cell>
        </row>
        <row r="366">
          <cell r="B366">
            <v>2021</v>
          </cell>
          <cell r="C366">
            <v>15</v>
          </cell>
          <cell r="E366" t="str">
            <v>NYJ</v>
          </cell>
          <cell r="I366">
            <v>24</v>
          </cell>
          <cell r="J366">
            <v>31</v>
          </cell>
          <cell r="L366">
            <v>0</v>
          </cell>
        </row>
        <row r="367">
          <cell r="B367">
            <v>2021</v>
          </cell>
          <cell r="C367">
            <v>16</v>
          </cell>
          <cell r="E367" t="str">
            <v>NYJ</v>
          </cell>
          <cell r="I367">
            <v>26</v>
          </cell>
          <cell r="J367">
            <v>21</v>
          </cell>
          <cell r="L367">
            <v>0</v>
          </cell>
        </row>
        <row r="368">
          <cell r="B368">
            <v>2021</v>
          </cell>
          <cell r="C368">
            <v>17</v>
          </cell>
          <cell r="E368" t="str">
            <v>NYJ</v>
          </cell>
          <cell r="I368">
            <v>24</v>
          </cell>
          <cell r="J368">
            <v>28</v>
          </cell>
          <cell r="L368">
            <v>0</v>
          </cell>
        </row>
        <row r="369">
          <cell r="B369">
            <v>2021</v>
          </cell>
          <cell r="C369">
            <v>18</v>
          </cell>
          <cell r="E369" t="str">
            <v>NYJ</v>
          </cell>
          <cell r="I369">
            <v>10</v>
          </cell>
          <cell r="J369">
            <v>27</v>
          </cell>
          <cell r="L369">
            <v>0</v>
          </cell>
        </row>
        <row r="370">
          <cell r="B370">
            <v>2022</v>
          </cell>
          <cell r="C370">
            <v>1</v>
          </cell>
          <cell r="E370" t="str">
            <v>NYJ</v>
          </cell>
          <cell r="I370">
            <v>9</v>
          </cell>
          <cell r="J370">
            <v>24</v>
          </cell>
          <cell r="L370">
            <v>0</v>
          </cell>
        </row>
        <row r="371">
          <cell r="B371">
            <v>2022</v>
          </cell>
          <cell r="C371">
            <v>2</v>
          </cell>
          <cell r="E371" t="str">
            <v>NYJ</v>
          </cell>
          <cell r="I371">
            <v>31</v>
          </cell>
          <cell r="J371">
            <v>30</v>
          </cell>
          <cell r="L371">
            <v>0</v>
          </cell>
        </row>
        <row r="372">
          <cell r="B372">
            <v>2022</v>
          </cell>
          <cell r="C372">
            <v>3</v>
          </cell>
          <cell r="E372" t="str">
            <v>NYJ</v>
          </cell>
          <cell r="I372">
            <v>12</v>
          </cell>
          <cell r="J372">
            <v>27</v>
          </cell>
          <cell r="L372">
            <v>0</v>
          </cell>
        </row>
        <row r="373">
          <cell r="B373">
            <v>2022</v>
          </cell>
          <cell r="C373">
            <v>4</v>
          </cell>
          <cell r="E373" t="str">
            <v>NYJ</v>
          </cell>
          <cell r="I373">
            <v>24</v>
          </cell>
          <cell r="J373">
            <v>20</v>
          </cell>
          <cell r="L373">
            <v>0</v>
          </cell>
        </row>
        <row r="374">
          <cell r="B374">
            <v>2022</v>
          </cell>
          <cell r="C374">
            <v>5</v>
          </cell>
          <cell r="E374" t="str">
            <v>NYJ</v>
          </cell>
          <cell r="I374">
            <v>40</v>
          </cell>
          <cell r="J374">
            <v>17</v>
          </cell>
          <cell r="L374">
            <v>0</v>
          </cell>
        </row>
        <row r="375">
          <cell r="B375">
            <v>2022</v>
          </cell>
          <cell r="C375">
            <v>6</v>
          </cell>
          <cell r="E375" t="str">
            <v>NYJ</v>
          </cell>
          <cell r="I375">
            <v>27</v>
          </cell>
          <cell r="J375">
            <v>10</v>
          </cell>
          <cell r="L375">
            <v>0</v>
          </cell>
        </row>
        <row r="376">
          <cell r="B376">
            <v>2022</v>
          </cell>
          <cell r="C376">
            <v>7</v>
          </cell>
          <cell r="E376" t="str">
            <v>NYJ</v>
          </cell>
          <cell r="I376">
            <v>16</v>
          </cell>
          <cell r="J376">
            <v>9</v>
          </cell>
          <cell r="L376">
            <v>0</v>
          </cell>
        </row>
        <row r="377">
          <cell r="B377">
            <v>2022</v>
          </cell>
          <cell r="C377">
            <v>8</v>
          </cell>
          <cell r="E377" t="str">
            <v>NYJ</v>
          </cell>
          <cell r="I377">
            <v>17</v>
          </cell>
          <cell r="J377">
            <v>22</v>
          </cell>
          <cell r="L377">
            <v>0</v>
          </cell>
        </row>
        <row r="378">
          <cell r="B378">
            <v>2022</v>
          </cell>
          <cell r="C378">
            <v>9</v>
          </cell>
          <cell r="E378" t="str">
            <v>NYJ</v>
          </cell>
          <cell r="I378">
            <v>20</v>
          </cell>
          <cell r="J378">
            <v>17</v>
          </cell>
          <cell r="L378">
            <v>0</v>
          </cell>
        </row>
        <row r="379">
          <cell r="B379">
            <v>2022</v>
          </cell>
          <cell r="C379">
            <v>11</v>
          </cell>
          <cell r="E379" t="str">
            <v>NYJ</v>
          </cell>
          <cell r="I379">
            <v>3</v>
          </cell>
          <cell r="J379">
            <v>10</v>
          </cell>
          <cell r="L379">
            <v>0</v>
          </cell>
        </row>
        <row r="380">
          <cell r="B380">
            <v>2022</v>
          </cell>
          <cell r="C380">
            <v>12</v>
          </cell>
          <cell r="E380" t="str">
            <v>NYJ</v>
          </cell>
          <cell r="I380">
            <v>31</v>
          </cell>
          <cell r="J380">
            <v>10</v>
          </cell>
          <cell r="L380">
            <v>0</v>
          </cell>
        </row>
        <row r="381">
          <cell r="B381">
            <v>2022</v>
          </cell>
          <cell r="C381">
            <v>13</v>
          </cell>
          <cell r="E381" t="str">
            <v>NYJ</v>
          </cell>
          <cell r="I381">
            <v>22</v>
          </cell>
          <cell r="J381">
            <v>27</v>
          </cell>
          <cell r="L381">
            <v>0</v>
          </cell>
        </row>
        <row r="382">
          <cell r="B382">
            <v>2022</v>
          </cell>
          <cell r="C382">
            <v>14</v>
          </cell>
          <cell r="E382" t="str">
            <v>NYJ</v>
          </cell>
          <cell r="I382">
            <v>12</v>
          </cell>
          <cell r="J382">
            <v>20</v>
          </cell>
          <cell r="L382">
            <v>0</v>
          </cell>
        </row>
        <row r="383">
          <cell r="B383">
            <v>2022</v>
          </cell>
          <cell r="C383">
            <v>15</v>
          </cell>
          <cell r="E383" t="str">
            <v>NYJ</v>
          </cell>
          <cell r="I383">
            <v>17</v>
          </cell>
          <cell r="J383">
            <v>20</v>
          </cell>
          <cell r="L383">
            <v>0</v>
          </cell>
        </row>
        <row r="384">
          <cell r="B384">
            <v>2022</v>
          </cell>
          <cell r="C384">
            <v>16</v>
          </cell>
          <cell r="E384" t="str">
            <v>NYJ</v>
          </cell>
          <cell r="I384">
            <v>3</v>
          </cell>
          <cell r="J384">
            <v>19</v>
          </cell>
          <cell r="L384">
            <v>0</v>
          </cell>
        </row>
        <row r="385">
          <cell r="B385">
            <v>2022</v>
          </cell>
          <cell r="C385">
            <v>17</v>
          </cell>
          <cell r="E385" t="str">
            <v>NYJ</v>
          </cell>
          <cell r="I385">
            <v>6</v>
          </cell>
          <cell r="J385">
            <v>23</v>
          </cell>
          <cell r="L385">
            <v>0</v>
          </cell>
        </row>
        <row r="386">
          <cell r="B386">
            <v>2022</v>
          </cell>
          <cell r="C386">
            <v>18</v>
          </cell>
          <cell r="E386" t="str">
            <v>NYJ</v>
          </cell>
          <cell r="I386">
            <v>6</v>
          </cell>
          <cell r="J386">
            <v>11</v>
          </cell>
          <cell r="L386">
            <v>0</v>
          </cell>
        </row>
        <row r="387">
          <cell r="B387">
            <v>2023</v>
          </cell>
          <cell r="C387">
            <v>1</v>
          </cell>
          <cell r="E387" t="str">
            <v>NYJ</v>
          </cell>
          <cell r="I387">
            <v>22</v>
          </cell>
          <cell r="J387">
            <v>16</v>
          </cell>
          <cell r="L387">
            <v>0</v>
          </cell>
        </row>
        <row r="388">
          <cell r="B388">
            <v>2023</v>
          </cell>
          <cell r="C388">
            <v>2</v>
          </cell>
          <cell r="E388" t="str">
            <v>NYJ</v>
          </cell>
          <cell r="I388">
            <v>10</v>
          </cell>
          <cell r="J388">
            <v>30</v>
          </cell>
          <cell r="L388">
            <v>0</v>
          </cell>
        </row>
        <row r="389">
          <cell r="B389">
            <v>2023</v>
          </cell>
          <cell r="C389">
            <v>3</v>
          </cell>
          <cell r="E389" t="str">
            <v>NYJ</v>
          </cell>
          <cell r="I389">
            <v>10</v>
          </cell>
          <cell r="J389">
            <v>15</v>
          </cell>
          <cell r="L389">
            <v>0</v>
          </cell>
        </row>
        <row r="390">
          <cell r="B390">
            <v>2023</v>
          </cell>
          <cell r="C390">
            <v>4</v>
          </cell>
          <cell r="E390" t="str">
            <v>NYJ</v>
          </cell>
          <cell r="I390">
            <v>20</v>
          </cell>
          <cell r="J390">
            <v>23</v>
          </cell>
          <cell r="L390">
            <v>0</v>
          </cell>
        </row>
        <row r="391">
          <cell r="B391">
            <v>2023</v>
          </cell>
          <cell r="C391">
            <v>5</v>
          </cell>
          <cell r="E391" t="str">
            <v>NYJ</v>
          </cell>
          <cell r="I391">
            <v>31</v>
          </cell>
          <cell r="J391">
            <v>21</v>
          </cell>
          <cell r="L391">
            <v>0</v>
          </cell>
        </row>
        <row r="392">
          <cell r="B392">
            <v>2023</v>
          </cell>
          <cell r="C392">
            <v>6</v>
          </cell>
          <cell r="E392" t="str">
            <v>NYJ</v>
          </cell>
          <cell r="I392">
            <v>20</v>
          </cell>
          <cell r="J392">
            <v>14</v>
          </cell>
          <cell r="L392">
            <v>0</v>
          </cell>
        </row>
        <row r="393">
          <cell r="B393">
            <v>2023</v>
          </cell>
          <cell r="C393">
            <v>8</v>
          </cell>
          <cell r="E393" t="str">
            <v>NYJ</v>
          </cell>
          <cell r="I393">
            <v>13</v>
          </cell>
          <cell r="J393">
            <v>10</v>
          </cell>
          <cell r="L393">
            <v>0</v>
          </cell>
        </row>
        <row r="394">
          <cell r="B394">
            <v>2023</v>
          </cell>
          <cell r="C394">
            <v>9</v>
          </cell>
          <cell r="E394" t="str">
            <v>NYJ</v>
          </cell>
          <cell r="I394">
            <v>6</v>
          </cell>
          <cell r="J394">
            <v>27</v>
          </cell>
          <cell r="L394">
            <v>0</v>
          </cell>
        </row>
        <row r="395">
          <cell r="B395">
            <v>2023</v>
          </cell>
          <cell r="C395">
            <v>10</v>
          </cell>
          <cell r="E395" t="str">
            <v>NYJ</v>
          </cell>
          <cell r="I395">
            <v>12</v>
          </cell>
          <cell r="J395">
            <v>16</v>
          </cell>
          <cell r="L395">
            <v>0</v>
          </cell>
        </row>
        <row r="396">
          <cell r="B396">
            <v>2023</v>
          </cell>
          <cell r="C396">
            <v>11</v>
          </cell>
          <cell r="E396" t="str">
            <v>NYJ</v>
          </cell>
          <cell r="I396">
            <v>6</v>
          </cell>
          <cell r="J396">
            <v>32</v>
          </cell>
          <cell r="L396">
            <v>0</v>
          </cell>
        </row>
        <row r="397">
          <cell r="B397">
            <v>2023</v>
          </cell>
          <cell r="C397">
            <v>12</v>
          </cell>
          <cell r="E397" t="str">
            <v>NYJ</v>
          </cell>
          <cell r="I397">
            <v>13</v>
          </cell>
          <cell r="J397">
            <v>34</v>
          </cell>
          <cell r="L397">
            <v>0</v>
          </cell>
        </row>
        <row r="398">
          <cell r="B398">
            <v>2023</v>
          </cell>
          <cell r="C398">
            <v>13</v>
          </cell>
          <cell r="E398" t="str">
            <v>NYJ</v>
          </cell>
          <cell r="I398">
            <v>8</v>
          </cell>
          <cell r="J398">
            <v>13</v>
          </cell>
          <cell r="L398">
            <v>0</v>
          </cell>
        </row>
        <row r="399">
          <cell r="B399">
            <v>2023</v>
          </cell>
          <cell r="C399">
            <v>14</v>
          </cell>
          <cell r="E399" t="str">
            <v>NYJ</v>
          </cell>
          <cell r="I399">
            <v>30</v>
          </cell>
          <cell r="J399">
            <v>6</v>
          </cell>
          <cell r="L399">
            <v>0</v>
          </cell>
        </row>
        <row r="400">
          <cell r="B400">
            <v>2023</v>
          </cell>
          <cell r="C400">
            <v>15</v>
          </cell>
          <cell r="E400" t="str">
            <v>NYJ</v>
          </cell>
          <cell r="I400">
            <v>0</v>
          </cell>
          <cell r="J400">
            <v>30</v>
          </cell>
          <cell r="L400">
            <v>0</v>
          </cell>
        </row>
        <row r="401">
          <cell r="B401">
            <v>2023</v>
          </cell>
          <cell r="C401">
            <v>16</v>
          </cell>
          <cell r="E401" t="str">
            <v>NYJ</v>
          </cell>
          <cell r="I401">
            <v>30</v>
          </cell>
          <cell r="J401">
            <v>28</v>
          </cell>
          <cell r="L401">
            <v>0</v>
          </cell>
        </row>
        <row r="402">
          <cell r="B402">
            <v>2023</v>
          </cell>
          <cell r="C402">
            <v>17</v>
          </cell>
          <cell r="E402" t="str">
            <v>NYJ</v>
          </cell>
          <cell r="I402">
            <v>20</v>
          </cell>
          <cell r="J402">
            <v>37</v>
          </cell>
          <cell r="L402">
            <v>0</v>
          </cell>
        </row>
        <row r="403">
          <cell r="B403">
            <v>2023</v>
          </cell>
          <cell r="C403">
            <v>18</v>
          </cell>
          <cell r="E403" t="str">
            <v>NYJ</v>
          </cell>
          <cell r="I403">
            <v>17</v>
          </cell>
          <cell r="J403">
            <v>3</v>
          </cell>
          <cell r="L403">
            <v>0</v>
          </cell>
        </row>
        <row r="404">
          <cell r="B404">
            <v>2024</v>
          </cell>
          <cell r="C404">
            <v>1</v>
          </cell>
          <cell r="E404" t="str">
            <v>NYJ</v>
          </cell>
          <cell r="I404">
            <v>19</v>
          </cell>
          <cell r="J404">
            <v>32</v>
          </cell>
          <cell r="L404">
            <v>0</v>
          </cell>
        </row>
        <row r="405">
          <cell r="B405">
            <v>2024</v>
          </cell>
          <cell r="C405">
            <v>2</v>
          </cell>
          <cell r="E405" t="str">
            <v>NYJ</v>
          </cell>
          <cell r="I405">
            <v>24</v>
          </cell>
          <cell r="J405">
            <v>17</v>
          </cell>
          <cell r="L405">
            <v>0</v>
          </cell>
        </row>
        <row r="406">
          <cell r="B406">
            <v>2024</v>
          </cell>
          <cell r="C406">
            <v>3</v>
          </cell>
          <cell r="E406" t="str">
            <v>NYJ</v>
          </cell>
          <cell r="I406">
            <v>24</v>
          </cell>
          <cell r="J406">
            <v>3</v>
          </cell>
          <cell r="L406">
            <v>0</v>
          </cell>
        </row>
        <row r="407">
          <cell r="B407">
            <v>2024</v>
          </cell>
          <cell r="C407">
            <v>4</v>
          </cell>
          <cell r="E407" t="str">
            <v>NYJ</v>
          </cell>
          <cell r="I407">
            <v>9</v>
          </cell>
          <cell r="J407">
            <v>10</v>
          </cell>
          <cell r="L407">
            <v>0</v>
          </cell>
        </row>
        <row r="408">
          <cell r="B408">
            <v>2024</v>
          </cell>
          <cell r="C408">
            <v>5</v>
          </cell>
          <cell r="E408" t="str">
            <v>NYJ</v>
          </cell>
          <cell r="I408">
            <v>17</v>
          </cell>
          <cell r="J408">
            <v>23</v>
          </cell>
          <cell r="L408">
            <v>0</v>
          </cell>
        </row>
        <row r="409">
          <cell r="B409">
            <v>2024</v>
          </cell>
          <cell r="C409">
            <v>6</v>
          </cell>
          <cell r="E409" t="str">
            <v>NYJ</v>
          </cell>
          <cell r="I409">
            <v>20</v>
          </cell>
          <cell r="J409">
            <v>23</v>
          </cell>
          <cell r="L409">
            <v>0</v>
          </cell>
        </row>
        <row r="410">
          <cell r="B410">
            <v>2024</v>
          </cell>
          <cell r="C410">
            <v>7</v>
          </cell>
          <cell r="E410" t="str">
            <v>NYJ</v>
          </cell>
          <cell r="I410">
            <v>15</v>
          </cell>
          <cell r="J410">
            <v>37</v>
          </cell>
          <cell r="L410">
            <v>0</v>
          </cell>
        </row>
        <row r="411">
          <cell r="B411">
            <v>2024</v>
          </cell>
          <cell r="C411">
            <v>8</v>
          </cell>
          <cell r="E411" t="str">
            <v>NYJ</v>
          </cell>
          <cell r="I411">
            <v>22</v>
          </cell>
          <cell r="J411">
            <v>25</v>
          </cell>
          <cell r="L411">
            <v>0</v>
          </cell>
        </row>
        <row r="412">
          <cell r="B412">
            <v>2024</v>
          </cell>
          <cell r="C412">
            <v>9</v>
          </cell>
          <cell r="E412" t="str">
            <v>NYJ</v>
          </cell>
          <cell r="I412">
            <v>21</v>
          </cell>
          <cell r="J412">
            <v>13</v>
          </cell>
          <cell r="L412">
            <v>0</v>
          </cell>
        </row>
        <row r="413">
          <cell r="B413">
            <v>2024</v>
          </cell>
          <cell r="C413">
            <v>10</v>
          </cell>
          <cell r="E413" t="str">
            <v>NYJ</v>
          </cell>
          <cell r="I413">
            <v>6</v>
          </cell>
          <cell r="J413">
            <v>31</v>
          </cell>
          <cell r="L413">
            <v>0</v>
          </cell>
        </row>
        <row r="414">
          <cell r="B414">
            <v>2024</v>
          </cell>
          <cell r="C414">
            <v>11</v>
          </cell>
          <cell r="E414" t="str">
            <v>NYJ</v>
          </cell>
          <cell r="I414">
            <v>27</v>
          </cell>
          <cell r="J414">
            <v>28</v>
          </cell>
          <cell r="L414">
            <v>0</v>
          </cell>
        </row>
        <row r="415">
          <cell r="B415">
            <v>2024</v>
          </cell>
          <cell r="C415">
            <v>13</v>
          </cell>
          <cell r="E415" t="str">
            <v>NYJ</v>
          </cell>
          <cell r="I415">
            <v>21</v>
          </cell>
          <cell r="J415">
            <v>26</v>
          </cell>
          <cell r="L415">
            <v>0</v>
          </cell>
        </row>
        <row r="416">
          <cell r="B416">
            <v>2024</v>
          </cell>
          <cell r="C416">
            <v>14</v>
          </cell>
          <cell r="E416" t="str">
            <v>NYJ</v>
          </cell>
          <cell r="I416">
            <v>26</v>
          </cell>
          <cell r="J416">
            <v>32</v>
          </cell>
          <cell r="L416">
            <v>0</v>
          </cell>
        </row>
        <row r="417">
          <cell r="B417">
            <v>2024</v>
          </cell>
          <cell r="C417">
            <v>15</v>
          </cell>
          <cell r="E417" t="str">
            <v>NYJ</v>
          </cell>
          <cell r="I417">
            <v>32</v>
          </cell>
          <cell r="J417">
            <v>25</v>
          </cell>
          <cell r="L417">
            <v>0</v>
          </cell>
        </row>
        <row r="418">
          <cell r="B418">
            <v>2024</v>
          </cell>
          <cell r="C418">
            <v>16</v>
          </cell>
          <cell r="E418" t="str">
            <v>NYJ</v>
          </cell>
          <cell r="I418">
            <v>9</v>
          </cell>
          <cell r="J418">
            <v>19</v>
          </cell>
          <cell r="L418">
            <v>0</v>
          </cell>
        </row>
        <row r="419">
          <cell r="B419">
            <v>2024</v>
          </cell>
          <cell r="C419">
            <v>17</v>
          </cell>
          <cell r="E419" t="str">
            <v>NYJ</v>
          </cell>
          <cell r="I419">
            <v>14</v>
          </cell>
          <cell r="J419">
            <v>40</v>
          </cell>
          <cell r="L419">
            <v>0</v>
          </cell>
        </row>
        <row r="420">
          <cell r="B420">
            <v>2024</v>
          </cell>
          <cell r="C420">
            <v>18</v>
          </cell>
          <cell r="E420" t="str">
            <v>NYJ</v>
          </cell>
          <cell r="I420">
            <v>32</v>
          </cell>
          <cell r="J420">
            <v>20</v>
          </cell>
          <cell r="L420">
            <v>0</v>
          </cell>
        </row>
        <row r="421">
          <cell r="B421">
            <v>2025</v>
          </cell>
          <cell r="C421">
            <v>1</v>
          </cell>
          <cell r="E421" t="str">
            <v>NYJ</v>
          </cell>
          <cell r="I421">
            <v>32</v>
          </cell>
          <cell r="J421">
            <v>34</v>
          </cell>
          <cell r="L421">
            <v>0</v>
          </cell>
        </row>
        <row r="422">
          <cell r="B422">
            <v>2025</v>
          </cell>
          <cell r="C422">
            <v>2</v>
          </cell>
          <cell r="E422" t="str">
            <v>NYJ</v>
          </cell>
          <cell r="I422">
            <v>10</v>
          </cell>
          <cell r="J422">
            <v>30</v>
          </cell>
          <cell r="L422">
            <v>0</v>
          </cell>
        </row>
        <row r="423">
          <cell r="B423">
            <v>2025</v>
          </cell>
          <cell r="C423">
            <v>3</v>
          </cell>
          <cell r="E423" t="str">
            <v>NYJ</v>
          </cell>
          <cell r="I423">
            <v>27</v>
          </cell>
          <cell r="J423">
            <v>29</v>
          </cell>
          <cell r="L423">
            <v>0</v>
          </cell>
        </row>
        <row r="424">
          <cell r="B424">
            <v>2025</v>
          </cell>
          <cell r="C424">
            <v>4</v>
          </cell>
          <cell r="E424" t="str">
            <v>NYJ</v>
          </cell>
          <cell r="I424">
            <v>21</v>
          </cell>
          <cell r="J424">
            <v>27</v>
          </cell>
          <cell r="L424">
            <v>0</v>
          </cell>
        </row>
        <row r="425">
          <cell r="B425">
            <v>2025</v>
          </cell>
          <cell r="C425">
            <v>5</v>
          </cell>
          <cell r="E425" t="str">
            <v>NYJ</v>
          </cell>
          <cell r="I425">
            <v>22</v>
          </cell>
          <cell r="J425">
            <v>37</v>
          </cell>
          <cell r="L425">
            <v>0</v>
          </cell>
        </row>
        <row r="426">
          <cell r="B426">
            <v>2025</v>
          </cell>
          <cell r="C426">
            <v>6</v>
          </cell>
          <cell r="E426" t="str">
            <v>NYJ</v>
          </cell>
          <cell r="I426">
            <v>11</v>
          </cell>
          <cell r="J426">
            <v>13</v>
          </cell>
          <cell r="L426">
            <v>0</v>
          </cell>
        </row>
        <row r="427">
          <cell r="B427">
            <v>2025</v>
          </cell>
          <cell r="C427">
            <v>7</v>
          </cell>
          <cell r="E427" t="str">
            <v>NYJ</v>
          </cell>
          <cell r="I427">
            <v>6</v>
          </cell>
          <cell r="J427">
            <v>13</v>
          </cell>
          <cell r="L427">
            <v>0</v>
          </cell>
        </row>
        <row r="428">
          <cell r="B428">
            <v>2025</v>
          </cell>
          <cell r="C428">
            <v>8</v>
          </cell>
          <cell r="E428" t="str">
            <v>NYJ</v>
          </cell>
          <cell r="I428">
            <v>39</v>
          </cell>
          <cell r="J428">
            <v>38</v>
          </cell>
          <cell r="L428">
            <v>0</v>
          </cell>
        </row>
        <row r="429">
          <cell r="B429">
            <v>2025</v>
          </cell>
          <cell r="C429">
            <v>10</v>
          </cell>
          <cell r="E429" t="str">
            <v>NYJ</v>
          </cell>
          <cell r="I429">
            <v>27</v>
          </cell>
          <cell r="J429">
            <v>20</v>
          </cell>
          <cell r="L429">
            <v>0</v>
          </cell>
        </row>
        <row r="430">
          <cell r="B430">
            <v>2025</v>
          </cell>
          <cell r="C430">
            <v>11</v>
          </cell>
          <cell r="E430" t="str">
            <v>NYJ</v>
          </cell>
          <cell r="I430">
            <v>14</v>
          </cell>
          <cell r="J430">
            <v>27</v>
          </cell>
          <cell r="L430">
            <v>0</v>
          </cell>
        </row>
        <row r="431">
          <cell r="B431">
            <v>2025</v>
          </cell>
          <cell r="C431">
            <v>12</v>
          </cell>
          <cell r="E431" t="str">
            <v>NYJ</v>
          </cell>
          <cell r="I431">
            <v>10</v>
          </cell>
          <cell r="J431">
            <v>23</v>
          </cell>
          <cell r="L431">
            <v>0</v>
          </cell>
        </row>
        <row r="432">
          <cell r="B432">
            <v>2025</v>
          </cell>
          <cell r="C432">
            <v>13</v>
          </cell>
          <cell r="E432" t="str">
            <v>NYJ</v>
          </cell>
          <cell r="I432">
            <v>27</v>
          </cell>
          <cell r="J432">
            <v>24</v>
          </cell>
          <cell r="L432">
            <v>0</v>
          </cell>
        </row>
        <row r="433">
          <cell r="B433">
            <v>2025</v>
          </cell>
          <cell r="C433">
            <v>14</v>
          </cell>
          <cell r="E433" t="str">
            <v>NYJ</v>
          </cell>
          <cell r="I433">
            <v>10</v>
          </cell>
          <cell r="J433">
            <v>34</v>
          </cell>
          <cell r="L433">
            <v>0</v>
          </cell>
        </row>
        <row r="434">
          <cell r="B434">
            <v>2025</v>
          </cell>
          <cell r="C434">
            <v>15</v>
          </cell>
          <cell r="E434" t="str">
            <v>NYJ</v>
          </cell>
          <cell r="I434">
            <v>20</v>
          </cell>
          <cell r="J434">
            <v>48</v>
          </cell>
          <cell r="L434">
            <v>0</v>
          </cell>
        </row>
        <row r="435">
          <cell r="B435">
            <v>2025</v>
          </cell>
          <cell r="C435">
            <v>16</v>
          </cell>
          <cell r="E435" t="str">
            <v>NYJ</v>
          </cell>
          <cell r="I435">
            <v>6</v>
          </cell>
          <cell r="J435">
            <v>29</v>
          </cell>
          <cell r="L435">
            <v>0</v>
          </cell>
        </row>
        <row r="436">
          <cell r="B436">
            <v>2025</v>
          </cell>
          <cell r="C436">
            <v>17</v>
          </cell>
          <cell r="E436" t="str">
            <v>NYJ</v>
          </cell>
          <cell r="I436">
            <v>10</v>
          </cell>
          <cell r="J436">
            <v>42</v>
          </cell>
          <cell r="L436">
            <v>0</v>
          </cell>
        </row>
        <row r="437">
          <cell r="B437">
            <v>2025</v>
          </cell>
          <cell r="C437">
            <v>18</v>
          </cell>
          <cell r="E437" t="str">
            <v>NYJ</v>
          </cell>
          <cell r="I437">
            <v>8</v>
          </cell>
          <cell r="J437">
            <v>35</v>
          </cell>
          <cell r="L437">
            <v>0</v>
          </cell>
        </row>
        <row r="438">
          <cell r="B438">
            <v>2026</v>
          </cell>
          <cell r="C438">
            <v>1</v>
          </cell>
          <cell r="E438" t="str">
            <v>NYJ</v>
          </cell>
          <cell r="I438">
            <v>23</v>
          </cell>
          <cell r="J438">
            <v>10</v>
          </cell>
          <cell r="L438">
            <v>0</v>
          </cell>
        </row>
        <row r="439">
          <cell r="B439">
            <v>2026</v>
          </cell>
          <cell r="C439">
            <v>2</v>
          </cell>
          <cell r="E439" t="str">
            <v>NYJ</v>
          </cell>
          <cell r="I439">
            <v>17</v>
          </cell>
          <cell r="J439">
            <v>20</v>
          </cell>
          <cell r="L439">
            <v>0</v>
          </cell>
        </row>
        <row r="440">
          <cell r="B440">
            <v>2026</v>
          </cell>
          <cell r="C440">
            <v>3</v>
          </cell>
          <cell r="E440" t="str">
            <v>NYJ</v>
          </cell>
          <cell r="I440">
            <v>24</v>
          </cell>
          <cell r="J440">
            <v>31</v>
          </cell>
          <cell r="L440">
            <v>0</v>
          </cell>
        </row>
        <row r="441">
          <cell r="B441">
            <v>2026</v>
          </cell>
          <cell r="C441">
            <v>4</v>
          </cell>
          <cell r="E441" t="str">
            <v>NYJ</v>
          </cell>
          <cell r="I441">
            <v>12</v>
          </cell>
          <cell r="J441">
            <v>23</v>
          </cell>
          <cell r="L441">
            <v>0</v>
          </cell>
        </row>
        <row r="442">
          <cell r="B442">
            <v>2026</v>
          </cell>
          <cell r="C442">
            <v>5</v>
          </cell>
          <cell r="E442" t="str">
            <v>NYJ</v>
          </cell>
          <cell r="I442">
            <v>17</v>
          </cell>
          <cell r="J442">
            <v>12</v>
          </cell>
          <cell r="L442">
            <v>0</v>
          </cell>
        </row>
        <row r="443">
          <cell r="B443">
            <v>2026</v>
          </cell>
          <cell r="C443">
            <v>6</v>
          </cell>
          <cell r="E443" t="str">
            <v>NYJ</v>
          </cell>
          <cell r="I443">
            <v>19</v>
          </cell>
          <cell r="J443">
            <v>26</v>
          </cell>
          <cell r="L443">
            <v>0</v>
          </cell>
        </row>
        <row r="444">
          <cell r="B444">
            <v>2026</v>
          </cell>
          <cell r="C444">
            <v>7</v>
          </cell>
          <cell r="E444" t="str">
            <v>NYJ</v>
          </cell>
          <cell r="L444">
            <v>0</v>
          </cell>
        </row>
        <row r="445">
          <cell r="B445">
            <v>2018</v>
          </cell>
          <cell r="C445">
            <v>1</v>
          </cell>
          <cell r="E445" t="str">
            <v>MIA</v>
          </cell>
          <cell r="I445">
            <v>27</v>
          </cell>
          <cell r="J445">
            <v>20</v>
          </cell>
          <cell r="L445">
            <v>0</v>
          </cell>
        </row>
        <row r="446">
          <cell r="B446">
            <v>2018</v>
          </cell>
          <cell r="C446">
            <v>2</v>
          </cell>
          <cell r="E446" t="str">
            <v>MIA</v>
          </cell>
          <cell r="I446">
            <v>20</v>
          </cell>
          <cell r="J446">
            <v>12</v>
          </cell>
          <cell r="L446">
            <v>0</v>
          </cell>
        </row>
        <row r="447">
          <cell r="B447">
            <v>2018</v>
          </cell>
          <cell r="C447">
            <v>3</v>
          </cell>
          <cell r="E447" t="str">
            <v>MIA</v>
          </cell>
          <cell r="I447">
            <v>28</v>
          </cell>
          <cell r="J447">
            <v>20</v>
          </cell>
          <cell r="L447">
            <v>0</v>
          </cell>
        </row>
        <row r="448">
          <cell r="B448">
            <v>2018</v>
          </cell>
          <cell r="C448">
            <v>4</v>
          </cell>
          <cell r="E448" t="str">
            <v>MIA</v>
          </cell>
          <cell r="I448">
            <v>7</v>
          </cell>
          <cell r="J448">
            <v>38</v>
          </cell>
          <cell r="L448">
            <v>0</v>
          </cell>
        </row>
        <row r="449">
          <cell r="B449">
            <v>2018</v>
          </cell>
          <cell r="C449">
            <v>5</v>
          </cell>
          <cell r="E449" t="str">
            <v>MIA</v>
          </cell>
          <cell r="I449">
            <v>17</v>
          </cell>
          <cell r="J449">
            <v>27</v>
          </cell>
          <cell r="L449">
            <v>0</v>
          </cell>
        </row>
        <row r="450">
          <cell r="B450">
            <v>2018</v>
          </cell>
          <cell r="C450">
            <v>6</v>
          </cell>
          <cell r="E450" t="str">
            <v>MIA</v>
          </cell>
          <cell r="I450">
            <v>31</v>
          </cell>
          <cell r="J450">
            <v>28</v>
          </cell>
          <cell r="L450">
            <v>0</v>
          </cell>
        </row>
        <row r="451">
          <cell r="B451">
            <v>2018</v>
          </cell>
          <cell r="C451">
            <v>7</v>
          </cell>
          <cell r="E451" t="str">
            <v>MIA</v>
          </cell>
          <cell r="I451">
            <v>21</v>
          </cell>
          <cell r="J451">
            <v>32</v>
          </cell>
          <cell r="L451">
            <v>0</v>
          </cell>
        </row>
        <row r="452">
          <cell r="B452">
            <v>2018</v>
          </cell>
          <cell r="C452">
            <v>8</v>
          </cell>
          <cell r="E452" t="str">
            <v>MIA</v>
          </cell>
          <cell r="I452">
            <v>23</v>
          </cell>
          <cell r="J452">
            <v>42</v>
          </cell>
          <cell r="L452">
            <v>0</v>
          </cell>
        </row>
        <row r="453">
          <cell r="B453">
            <v>2018</v>
          </cell>
          <cell r="C453">
            <v>9</v>
          </cell>
          <cell r="E453" t="str">
            <v>MIA</v>
          </cell>
          <cell r="I453">
            <v>13</v>
          </cell>
          <cell r="J453">
            <v>6</v>
          </cell>
          <cell r="L453">
            <v>0</v>
          </cell>
        </row>
        <row r="454">
          <cell r="B454">
            <v>2018</v>
          </cell>
          <cell r="C454">
            <v>10</v>
          </cell>
          <cell r="E454" t="str">
            <v>MIA</v>
          </cell>
          <cell r="I454">
            <v>12</v>
          </cell>
          <cell r="J454">
            <v>31</v>
          </cell>
          <cell r="L454">
            <v>0</v>
          </cell>
        </row>
        <row r="455">
          <cell r="B455">
            <v>2018</v>
          </cell>
          <cell r="C455">
            <v>12</v>
          </cell>
          <cell r="E455" t="str">
            <v>MIA</v>
          </cell>
          <cell r="I455">
            <v>24</v>
          </cell>
          <cell r="J455">
            <v>27</v>
          </cell>
          <cell r="L455">
            <v>0</v>
          </cell>
        </row>
        <row r="456">
          <cell r="B456">
            <v>2018</v>
          </cell>
          <cell r="C456">
            <v>13</v>
          </cell>
          <cell r="E456" t="str">
            <v>MIA</v>
          </cell>
          <cell r="I456">
            <v>21</v>
          </cell>
          <cell r="J456">
            <v>17</v>
          </cell>
          <cell r="L456">
            <v>0</v>
          </cell>
        </row>
        <row r="457">
          <cell r="B457">
            <v>2018</v>
          </cell>
          <cell r="C457">
            <v>14</v>
          </cell>
          <cell r="E457" t="str">
            <v>MIA</v>
          </cell>
          <cell r="I457">
            <v>34</v>
          </cell>
          <cell r="J457">
            <v>33</v>
          </cell>
          <cell r="L457">
            <v>0</v>
          </cell>
        </row>
        <row r="458">
          <cell r="B458">
            <v>2018</v>
          </cell>
          <cell r="C458">
            <v>15</v>
          </cell>
          <cell r="E458" t="str">
            <v>MIA</v>
          </cell>
          <cell r="I458">
            <v>17</v>
          </cell>
          <cell r="J458">
            <v>41</v>
          </cell>
          <cell r="L458">
            <v>0</v>
          </cell>
        </row>
        <row r="459">
          <cell r="B459">
            <v>2018</v>
          </cell>
          <cell r="C459">
            <v>16</v>
          </cell>
          <cell r="E459" t="str">
            <v>MIA</v>
          </cell>
          <cell r="I459">
            <v>7</v>
          </cell>
          <cell r="J459">
            <v>17</v>
          </cell>
          <cell r="L459">
            <v>0</v>
          </cell>
        </row>
        <row r="460">
          <cell r="B460">
            <v>2018</v>
          </cell>
          <cell r="C460">
            <v>17</v>
          </cell>
          <cell r="E460" t="str">
            <v>MIA</v>
          </cell>
          <cell r="I460">
            <v>17</v>
          </cell>
          <cell r="J460">
            <v>42</v>
          </cell>
          <cell r="L460">
            <v>0</v>
          </cell>
        </row>
        <row r="461">
          <cell r="B461">
            <v>2019</v>
          </cell>
          <cell r="C461">
            <v>1</v>
          </cell>
          <cell r="E461" t="str">
            <v>MIA</v>
          </cell>
          <cell r="I461">
            <v>10</v>
          </cell>
          <cell r="J461">
            <v>59</v>
          </cell>
          <cell r="L461">
            <v>0</v>
          </cell>
        </row>
        <row r="462">
          <cell r="B462">
            <v>2019</v>
          </cell>
          <cell r="C462">
            <v>2</v>
          </cell>
          <cell r="E462" t="str">
            <v>MIA</v>
          </cell>
          <cell r="I462">
            <v>0</v>
          </cell>
          <cell r="J462">
            <v>43</v>
          </cell>
          <cell r="L462">
            <v>0</v>
          </cell>
        </row>
        <row r="463">
          <cell r="B463">
            <v>2019</v>
          </cell>
          <cell r="C463">
            <v>3</v>
          </cell>
          <cell r="E463" t="str">
            <v>MIA</v>
          </cell>
          <cell r="I463">
            <v>6</v>
          </cell>
          <cell r="J463">
            <v>31</v>
          </cell>
          <cell r="L463">
            <v>0</v>
          </cell>
        </row>
        <row r="464">
          <cell r="B464">
            <v>2019</v>
          </cell>
          <cell r="C464">
            <v>4</v>
          </cell>
          <cell r="E464" t="str">
            <v>MIA</v>
          </cell>
          <cell r="I464">
            <v>10</v>
          </cell>
          <cell r="J464">
            <v>30</v>
          </cell>
          <cell r="L464">
            <v>0</v>
          </cell>
        </row>
        <row r="465">
          <cell r="B465">
            <v>2019</v>
          </cell>
          <cell r="C465">
            <v>6</v>
          </cell>
          <cell r="E465" t="str">
            <v>MIA</v>
          </cell>
          <cell r="I465">
            <v>16</v>
          </cell>
          <cell r="J465">
            <v>17</v>
          </cell>
          <cell r="L465">
            <v>0</v>
          </cell>
        </row>
        <row r="466">
          <cell r="B466">
            <v>2019</v>
          </cell>
          <cell r="C466">
            <v>7</v>
          </cell>
          <cell r="E466" t="str">
            <v>MIA</v>
          </cell>
          <cell r="I466">
            <v>21</v>
          </cell>
          <cell r="J466">
            <v>31</v>
          </cell>
          <cell r="L466">
            <v>0</v>
          </cell>
        </row>
        <row r="467">
          <cell r="B467">
            <v>2019</v>
          </cell>
          <cell r="C467">
            <v>8</v>
          </cell>
          <cell r="E467" t="str">
            <v>MIA</v>
          </cell>
          <cell r="I467">
            <v>14</v>
          </cell>
          <cell r="J467">
            <v>27</v>
          </cell>
          <cell r="L467">
            <v>0</v>
          </cell>
        </row>
        <row r="468">
          <cell r="B468">
            <v>2019</v>
          </cell>
          <cell r="C468">
            <v>9</v>
          </cell>
          <cell r="E468" t="str">
            <v>MIA</v>
          </cell>
          <cell r="I468">
            <v>26</v>
          </cell>
          <cell r="J468">
            <v>18</v>
          </cell>
          <cell r="L468">
            <v>0</v>
          </cell>
        </row>
        <row r="469">
          <cell r="B469">
            <v>2019</v>
          </cell>
          <cell r="C469">
            <v>10</v>
          </cell>
          <cell r="E469" t="str">
            <v>MIA</v>
          </cell>
          <cell r="I469">
            <v>16</v>
          </cell>
          <cell r="J469">
            <v>12</v>
          </cell>
          <cell r="L469">
            <v>0</v>
          </cell>
        </row>
        <row r="470">
          <cell r="B470">
            <v>2019</v>
          </cell>
          <cell r="C470">
            <v>11</v>
          </cell>
          <cell r="E470" t="str">
            <v>MIA</v>
          </cell>
          <cell r="I470">
            <v>20</v>
          </cell>
          <cell r="J470">
            <v>37</v>
          </cell>
          <cell r="L470">
            <v>0</v>
          </cell>
        </row>
        <row r="471">
          <cell r="B471">
            <v>2019</v>
          </cell>
          <cell r="C471">
            <v>12</v>
          </cell>
          <cell r="E471" t="str">
            <v>MIA</v>
          </cell>
          <cell r="I471">
            <v>24</v>
          </cell>
          <cell r="J471">
            <v>41</v>
          </cell>
          <cell r="L471">
            <v>0</v>
          </cell>
        </row>
        <row r="472">
          <cell r="B472">
            <v>2019</v>
          </cell>
          <cell r="C472">
            <v>13</v>
          </cell>
          <cell r="E472" t="str">
            <v>MIA</v>
          </cell>
          <cell r="I472">
            <v>37</v>
          </cell>
          <cell r="J472">
            <v>31</v>
          </cell>
          <cell r="L472">
            <v>0</v>
          </cell>
        </row>
        <row r="473">
          <cell r="B473">
            <v>2019</v>
          </cell>
          <cell r="C473">
            <v>14</v>
          </cell>
          <cell r="E473" t="str">
            <v>MIA</v>
          </cell>
          <cell r="I473">
            <v>21</v>
          </cell>
          <cell r="J473">
            <v>22</v>
          </cell>
          <cell r="L473">
            <v>0</v>
          </cell>
        </row>
        <row r="474">
          <cell r="B474">
            <v>2019</v>
          </cell>
          <cell r="C474">
            <v>15</v>
          </cell>
          <cell r="E474" t="str">
            <v>MIA</v>
          </cell>
          <cell r="I474">
            <v>20</v>
          </cell>
          <cell r="J474">
            <v>36</v>
          </cell>
          <cell r="L474">
            <v>0</v>
          </cell>
        </row>
        <row r="475">
          <cell r="B475">
            <v>2019</v>
          </cell>
          <cell r="C475">
            <v>16</v>
          </cell>
          <cell r="E475" t="str">
            <v>MIA</v>
          </cell>
          <cell r="I475">
            <v>38</v>
          </cell>
          <cell r="J475">
            <v>35</v>
          </cell>
          <cell r="L475">
            <v>0</v>
          </cell>
        </row>
        <row r="476">
          <cell r="B476">
            <v>2019</v>
          </cell>
          <cell r="C476">
            <v>17</v>
          </cell>
          <cell r="E476" t="str">
            <v>MIA</v>
          </cell>
          <cell r="I476">
            <v>27</v>
          </cell>
          <cell r="J476">
            <v>24</v>
          </cell>
          <cell r="L476">
            <v>0</v>
          </cell>
        </row>
        <row r="477">
          <cell r="B477">
            <v>2020</v>
          </cell>
          <cell r="C477">
            <v>1</v>
          </cell>
          <cell r="E477" t="str">
            <v>MIA</v>
          </cell>
          <cell r="I477">
            <v>11</v>
          </cell>
          <cell r="J477">
            <v>21</v>
          </cell>
          <cell r="L477">
            <v>0</v>
          </cell>
        </row>
        <row r="478">
          <cell r="B478">
            <v>2020</v>
          </cell>
          <cell r="C478">
            <v>2</v>
          </cell>
          <cell r="E478" t="str">
            <v>MIA</v>
          </cell>
          <cell r="I478">
            <v>28</v>
          </cell>
          <cell r="J478">
            <v>31</v>
          </cell>
          <cell r="L478">
            <v>0</v>
          </cell>
        </row>
        <row r="479">
          <cell r="B479">
            <v>2020</v>
          </cell>
          <cell r="C479">
            <v>3</v>
          </cell>
          <cell r="E479" t="str">
            <v>MIA</v>
          </cell>
          <cell r="I479">
            <v>31</v>
          </cell>
          <cell r="J479">
            <v>13</v>
          </cell>
          <cell r="L479">
            <v>0</v>
          </cell>
        </row>
        <row r="480">
          <cell r="B480">
            <v>2020</v>
          </cell>
          <cell r="C480">
            <v>4</v>
          </cell>
          <cell r="E480" t="str">
            <v>MIA</v>
          </cell>
          <cell r="I480">
            <v>23</v>
          </cell>
          <cell r="J480">
            <v>31</v>
          </cell>
          <cell r="L480">
            <v>0</v>
          </cell>
        </row>
        <row r="481">
          <cell r="B481">
            <v>2020</v>
          </cell>
          <cell r="C481">
            <v>5</v>
          </cell>
          <cell r="E481" t="str">
            <v>MIA</v>
          </cell>
          <cell r="I481">
            <v>43</v>
          </cell>
          <cell r="J481">
            <v>17</v>
          </cell>
          <cell r="L481">
            <v>0</v>
          </cell>
        </row>
        <row r="482">
          <cell r="B482">
            <v>2020</v>
          </cell>
          <cell r="C482">
            <v>6</v>
          </cell>
          <cell r="E482" t="str">
            <v>MIA</v>
          </cell>
          <cell r="I482">
            <v>24</v>
          </cell>
          <cell r="J482">
            <v>0</v>
          </cell>
          <cell r="L482">
            <v>0</v>
          </cell>
        </row>
        <row r="483">
          <cell r="B483">
            <v>2020</v>
          </cell>
          <cell r="C483">
            <v>8</v>
          </cell>
          <cell r="E483" t="str">
            <v>MIA</v>
          </cell>
          <cell r="I483">
            <v>28</v>
          </cell>
          <cell r="J483">
            <v>17</v>
          </cell>
          <cell r="L483">
            <v>0</v>
          </cell>
        </row>
        <row r="484">
          <cell r="B484">
            <v>2020</v>
          </cell>
          <cell r="C484">
            <v>9</v>
          </cell>
          <cell r="E484" t="str">
            <v>MIA</v>
          </cell>
          <cell r="I484">
            <v>34</v>
          </cell>
          <cell r="J484">
            <v>31</v>
          </cell>
          <cell r="L484">
            <v>0</v>
          </cell>
        </row>
        <row r="485">
          <cell r="B485">
            <v>2020</v>
          </cell>
          <cell r="C485">
            <v>10</v>
          </cell>
          <cell r="E485" t="str">
            <v>MIA</v>
          </cell>
          <cell r="I485">
            <v>29</v>
          </cell>
          <cell r="J485">
            <v>21</v>
          </cell>
          <cell r="L485">
            <v>0</v>
          </cell>
        </row>
        <row r="486">
          <cell r="B486">
            <v>2020</v>
          </cell>
          <cell r="C486">
            <v>11</v>
          </cell>
          <cell r="E486" t="str">
            <v>MIA</v>
          </cell>
          <cell r="I486">
            <v>13</v>
          </cell>
          <cell r="J486">
            <v>20</v>
          </cell>
          <cell r="L486">
            <v>0</v>
          </cell>
        </row>
        <row r="487">
          <cell r="B487">
            <v>2020</v>
          </cell>
          <cell r="C487">
            <v>12</v>
          </cell>
          <cell r="E487" t="str">
            <v>MIA</v>
          </cell>
          <cell r="I487">
            <v>20</v>
          </cell>
          <cell r="J487">
            <v>3</v>
          </cell>
          <cell r="L487">
            <v>0</v>
          </cell>
        </row>
        <row r="488">
          <cell r="B488">
            <v>2020</v>
          </cell>
          <cell r="C488">
            <v>13</v>
          </cell>
          <cell r="E488" t="str">
            <v>MIA</v>
          </cell>
          <cell r="I488">
            <v>19</v>
          </cell>
          <cell r="J488">
            <v>7</v>
          </cell>
          <cell r="L488">
            <v>0</v>
          </cell>
        </row>
        <row r="489">
          <cell r="B489">
            <v>2020</v>
          </cell>
          <cell r="C489">
            <v>14</v>
          </cell>
          <cell r="E489" t="str">
            <v>MIA</v>
          </cell>
          <cell r="I489">
            <v>27</v>
          </cell>
          <cell r="J489">
            <v>33</v>
          </cell>
          <cell r="L489">
            <v>0</v>
          </cell>
        </row>
        <row r="490">
          <cell r="B490">
            <v>2020</v>
          </cell>
          <cell r="C490">
            <v>15</v>
          </cell>
          <cell r="E490" t="str">
            <v>MIA</v>
          </cell>
          <cell r="I490">
            <v>22</v>
          </cell>
          <cell r="J490">
            <v>12</v>
          </cell>
          <cell r="L490">
            <v>0</v>
          </cell>
        </row>
        <row r="491">
          <cell r="B491">
            <v>2020</v>
          </cell>
          <cell r="C491">
            <v>16</v>
          </cell>
          <cell r="E491" t="str">
            <v>MIA</v>
          </cell>
          <cell r="I491">
            <v>26</v>
          </cell>
          <cell r="J491">
            <v>25</v>
          </cell>
          <cell r="L491">
            <v>0</v>
          </cell>
        </row>
        <row r="492">
          <cell r="B492">
            <v>2020</v>
          </cell>
          <cell r="C492">
            <v>17</v>
          </cell>
          <cell r="E492" t="str">
            <v>MIA</v>
          </cell>
          <cell r="I492">
            <v>26</v>
          </cell>
          <cell r="J492">
            <v>56</v>
          </cell>
          <cell r="L492">
            <v>0</v>
          </cell>
        </row>
        <row r="493">
          <cell r="B493">
            <v>2021</v>
          </cell>
          <cell r="C493">
            <v>1</v>
          </cell>
          <cell r="E493" t="str">
            <v>MIA</v>
          </cell>
          <cell r="I493">
            <v>17</v>
          </cell>
          <cell r="J493">
            <v>16</v>
          </cell>
          <cell r="L493">
            <v>0</v>
          </cell>
        </row>
        <row r="494">
          <cell r="B494">
            <v>2021</v>
          </cell>
          <cell r="C494">
            <v>2</v>
          </cell>
          <cell r="E494" t="str">
            <v>MIA</v>
          </cell>
          <cell r="I494">
            <v>0</v>
          </cell>
          <cell r="J494">
            <v>35</v>
          </cell>
          <cell r="L494">
            <v>0</v>
          </cell>
        </row>
        <row r="495">
          <cell r="B495">
            <v>2021</v>
          </cell>
          <cell r="C495">
            <v>3</v>
          </cell>
          <cell r="E495" t="str">
            <v>MIA</v>
          </cell>
          <cell r="I495">
            <v>28</v>
          </cell>
          <cell r="J495">
            <v>31</v>
          </cell>
          <cell r="L495">
            <v>0</v>
          </cell>
        </row>
        <row r="496">
          <cell r="B496">
            <v>2021</v>
          </cell>
          <cell r="C496">
            <v>4</v>
          </cell>
          <cell r="E496" t="str">
            <v>MIA</v>
          </cell>
          <cell r="I496">
            <v>17</v>
          </cell>
          <cell r="J496">
            <v>27</v>
          </cell>
          <cell r="L496">
            <v>0</v>
          </cell>
        </row>
        <row r="497">
          <cell r="B497">
            <v>2021</v>
          </cell>
          <cell r="C497">
            <v>5</v>
          </cell>
          <cell r="E497" t="str">
            <v>MIA</v>
          </cell>
          <cell r="I497">
            <v>17</v>
          </cell>
          <cell r="J497">
            <v>45</v>
          </cell>
          <cell r="L497">
            <v>0</v>
          </cell>
        </row>
        <row r="498">
          <cell r="B498">
            <v>2021</v>
          </cell>
          <cell r="C498">
            <v>6</v>
          </cell>
          <cell r="E498" t="str">
            <v>MIA</v>
          </cell>
          <cell r="I498">
            <v>20</v>
          </cell>
          <cell r="J498">
            <v>23</v>
          </cell>
          <cell r="L498">
            <v>0</v>
          </cell>
        </row>
        <row r="499">
          <cell r="B499">
            <v>2021</v>
          </cell>
          <cell r="C499">
            <v>7</v>
          </cell>
          <cell r="E499" t="str">
            <v>MIA</v>
          </cell>
          <cell r="I499">
            <v>28</v>
          </cell>
          <cell r="J499">
            <v>30</v>
          </cell>
          <cell r="L499">
            <v>0</v>
          </cell>
        </row>
        <row r="500">
          <cell r="B500">
            <v>2021</v>
          </cell>
          <cell r="C500">
            <v>8</v>
          </cell>
          <cell r="E500" t="str">
            <v>MIA</v>
          </cell>
          <cell r="I500">
            <v>11</v>
          </cell>
          <cell r="J500">
            <v>26</v>
          </cell>
          <cell r="L500">
            <v>0</v>
          </cell>
        </row>
        <row r="501">
          <cell r="B501">
            <v>2021</v>
          </cell>
          <cell r="C501">
            <v>9</v>
          </cell>
          <cell r="E501" t="str">
            <v>MIA</v>
          </cell>
          <cell r="I501">
            <v>17</v>
          </cell>
          <cell r="J501">
            <v>9</v>
          </cell>
          <cell r="L501">
            <v>0</v>
          </cell>
        </row>
        <row r="502">
          <cell r="B502">
            <v>2021</v>
          </cell>
          <cell r="C502">
            <v>10</v>
          </cell>
          <cell r="E502" t="str">
            <v>MIA</v>
          </cell>
          <cell r="I502">
            <v>22</v>
          </cell>
          <cell r="J502">
            <v>10</v>
          </cell>
          <cell r="L502">
            <v>0</v>
          </cell>
        </row>
        <row r="503">
          <cell r="B503">
            <v>2021</v>
          </cell>
          <cell r="C503">
            <v>11</v>
          </cell>
          <cell r="E503" t="str">
            <v>MIA</v>
          </cell>
          <cell r="I503">
            <v>24</v>
          </cell>
          <cell r="J503">
            <v>17</v>
          </cell>
          <cell r="L503">
            <v>0</v>
          </cell>
        </row>
        <row r="504">
          <cell r="B504">
            <v>2021</v>
          </cell>
          <cell r="C504">
            <v>12</v>
          </cell>
          <cell r="E504" t="str">
            <v>MIA</v>
          </cell>
          <cell r="I504">
            <v>33</v>
          </cell>
          <cell r="J504">
            <v>10</v>
          </cell>
          <cell r="L504">
            <v>0</v>
          </cell>
        </row>
        <row r="505">
          <cell r="B505">
            <v>2021</v>
          </cell>
          <cell r="C505">
            <v>13</v>
          </cell>
          <cell r="E505" t="str">
            <v>MIA</v>
          </cell>
          <cell r="I505">
            <v>20</v>
          </cell>
          <cell r="J505">
            <v>9</v>
          </cell>
          <cell r="L505">
            <v>0</v>
          </cell>
        </row>
        <row r="506">
          <cell r="B506">
            <v>2021</v>
          </cell>
          <cell r="C506">
            <v>15</v>
          </cell>
          <cell r="E506" t="str">
            <v>MIA</v>
          </cell>
          <cell r="I506">
            <v>31</v>
          </cell>
          <cell r="J506">
            <v>24</v>
          </cell>
          <cell r="L506">
            <v>0</v>
          </cell>
        </row>
        <row r="507">
          <cell r="B507">
            <v>2021</v>
          </cell>
          <cell r="C507">
            <v>16</v>
          </cell>
          <cell r="E507" t="str">
            <v>MIA</v>
          </cell>
          <cell r="I507">
            <v>20</v>
          </cell>
          <cell r="J507">
            <v>3</v>
          </cell>
          <cell r="L507">
            <v>0</v>
          </cell>
        </row>
        <row r="508">
          <cell r="B508">
            <v>2021</v>
          </cell>
          <cell r="C508">
            <v>17</v>
          </cell>
          <cell r="E508" t="str">
            <v>MIA</v>
          </cell>
          <cell r="I508">
            <v>3</v>
          </cell>
          <cell r="J508">
            <v>34</v>
          </cell>
          <cell r="L508">
            <v>0</v>
          </cell>
        </row>
        <row r="509">
          <cell r="B509">
            <v>2021</v>
          </cell>
          <cell r="C509">
            <v>18</v>
          </cell>
          <cell r="E509" t="str">
            <v>MIA</v>
          </cell>
          <cell r="I509">
            <v>33</v>
          </cell>
          <cell r="J509">
            <v>24</v>
          </cell>
          <cell r="L509">
            <v>0</v>
          </cell>
        </row>
        <row r="510">
          <cell r="B510">
            <v>2022</v>
          </cell>
          <cell r="C510">
            <v>1</v>
          </cell>
          <cell r="E510" t="str">
            <v>MIA</v>
          </cell>
          <cell r="I510">
            <v>20</v>
          </cell>
          <cell r="J510">
            <v>7</v>
          </cell>
          <cell r="L510">
            <v>0</v>
          </cell>
        </row>
        <row r="511">
          <cell r="B511">
            <v>2022</v>
          </cell>
          <cell r="C511">
            <v>2</v>
          </cell>
          <cell r="E511" t="str">
            <v>MIA</v>
          </cell>
          <cell r="I511">
            <v>42</v>
          </cell>
          <cell r="J511">
            <v>38</v>
          </cell>
          <cell r="L511">
            <v>0</v>
          </cell>
        </row>
        <row r="512">
          <cell r="B512">
            <v>2022</v>
          </cell>
          <cell r="C512">
            <v>3</v>
          </cell>
          <cell r="E512" t="str">
            <v>MIA</v>
          </cell>
          <cell r="I512">
            <v>21</v>
          </cell>
          <cell r="J512">
            <v>19</v>
          </cell>
          <cell r="L512">
            <v>0</v>
          </cell>
        </row>
        <row r="513">
          <cell r="B513">
            <v>2022</v>
          </cell>
          <cell r="C513">
            <v>4</v>
          </cell>
          <cell r="E513" t="str">
            <v>MIA</v>
          </cell>
          <cell r="I513">
            <v>15</v>
          </cell>
          <cell r="J513">
            <v>27</v>
          </cell>
          <cell r="L513">
            <v>0</v>
          </cell>
        </row>
        <row r="514">
          <cell r="B514">
            <v>2022</v>
          </cell>
          <cell r="C514">
            <v>5</v>
          </cell>
          <cell r="E514" t="str">
            <v>MIA</v>
          </cell>
          <cell r="I514">
            <v>17</v>
          </cell>
          <cell r="J514">
            <v>40</v>
          </cell>
          <cell r="L514">
            <v>0</v>
          </cell>
        </row>
        <row r="515">
          <cell r="B515">
            <v>2022</v>
          </cell>
          <cell r="C515">
            <v>6</v>
          </cell>
          <cell r="E515" t="str">
            <v>MIA</v>
          </cell>
          <cell r="I515">
            <v>16</v>
          </cell>
          <cell r="J515">
            <v>24</v>
          </cell>
          <cell r="L515">
            <v>0</v>
          </cell>
        </row>
        <row r="516">
          <cell r="B516">
            <v>2022</v>
          </cell>
          <cell r="C516">
            <v>7</v>
          </cell>
          <cell r="E516" t="str">
            <v>MIA</v>
          </cell>
          <cell r="I516">
            <v>16</v>
          </cell>
          <cell r="J516">
            <v>10</v>
          </cell>
          <cell r="L516">
            <v>0</v>
          </cell>
        </row>
        <row r="517">
          <cell r="B517">
            <v>2022</v>
          </cell>
          <cell r="C517">
            <v>8</v>
          </cell>
          <cell r="E517" t="str">
            <v>MIA</v>
          </cell>
          <cell r="I517">
            <v>31</v>
          </cell>
          <cell r="J517">
            <v>27</v>
          </cell>
          <cell r="L517">
            <v>0</v>
          </cell>
        </row>
        <row r="518">
          <cell r="B518">
            <v>2022</v>
          </cell>
          <cell r="C518">
            <v>9</v>
          </cell>
          <cell r="E518" t="str">
            <v>MIA</v>
          </cell>
          <cell r="I518">
            <v>35</v>
          </cell>
          <cell r="J518">
            <v>32</v>
          </cell>
          <cell r="L518">
            <v>0</v>
          </cell>
        </row>
        <row r="519">
          <cell r="B519">
            <v>2022</v>
          </cell>
          <cell r="C519">
            <v>10</v>
          </cell>
          <cell r="E519" t="str">
            <v>MIA</v>
          </cell>
          <cell r="I519">
            <v>39</v>
          </cell>
          <cell r="J519">
            <v>17</v>
          </cell>
          <cell r="L519">
            <v>0</v>
          </cell>
        </row>
        <row r="520">
          <cell r="B520">
            <v>2022</v>
          </cell>
          <cell r="C520">
            <v>12</v>
          </cell>
          <cell r="E520" t="str">
            <v>MIA</v>
          </cell>
          <cell r="I520">
            <v>30</v>
          </cell>
          <cell r="J520">
            <v>15</v>
          </cell>
          <cell r="L520">
            <v>0</v>
          </cell>
        </row>
        <row r="521">
          <cell r="B521">
            <v>2022</v>
          </cell>
          <cell r="C521">
            <v>13</v>
          </cell>
          <cell r="E521" t="str">
            <v>MIA</v>
          </cell>
          <cell r="I521">
            <v>17</v>
          </cell>
          <cell r="J521">
            <v>33</v>
          </cell>
          <cell r="L521">
            <v>0</v>
          </cell>
        </row>
        <row r="522">
          <cell r="B522">
            <v>2022</v>
          </cell>
          <cell r="C522">
            <v>14</v>
          </cell>
          <cell r="E522" t="str">
            <v>MIA</v>
          </cell>
          <cell r="I522">
            <v>17</v>
          </cell>
          <cell r="J522">
            <v>23</v>
          </cell>
          <cell r="L522">
            <v>0</v>
          </cell>
        </row>
        <row r="523">
          <cell r="B523">
            <v>2022</v>
          </cell>
          <cell r="C523">
            <v>15</v>
          </cell>
          <cell r="E523" t="str">
            <v>MIA</v>
          </cell>
          <cell r="I523">
            <v>29</v>
          </cell>
          <cell r="J523">
            <v>32</v>
          </cell>
          <cell r="L523">
            <v>0</v>
          </cell>
        </row>
        <row r="524">
          <cell r="B524">
            <v>2022</v>
          </cell>
          <cell r="C524">
            <v>16</v>
          </cell>
          <cell r="E524" t="str">
            <v>MIA</v>
          </cell>
          <cell r="I524">
            <v>20</v>
          </cell>
          <cell r="J524">
            <v>26</v>
          </cell>
          <cell r="L524">
            <v>0</v>
          </cell>
        </row>
        <row r="525">
          <cell r="B525">
            <v>2022</v>
          </cell>
          <cell r="C525">
            <v>17</v>
          </cell>
          <cell r="E525" t="str">
            <v>MIA</v>
          </cell>
          <cell r="I525">
            <v>21</v>
          </cell>
          <cell r="J525">
            <v>23</v>
          </cell>
          <cell r="L525">
            <v>0</v>
          </cell>
        </row>
        <row r="526">
          <cell r="B526">
            <v>2022</v>
          </cell>
          <cell r="C526">
            <v>18</v>
          </cell>
          <cell r="E526" t="str">
            <v>MIA</v>
          </cell>
          <cell r="I526">
            <v>11</v>
          </cell>
          <cell r="J526">
            <v>6</v>
          </cell>
          <cell r="L526">
            <v>0</v>
          </cell>
        </row>
        <row r="527">
          <cell r="B527">
            <v>2022</v>
          </cell>
          <cell r="C527">
            <v>1</v>
          </cell>
          <cell r="E527" t="str">
            <v>MIA</v>
          </cell>
          <cell r="I527">
            <v>31</v>
          </cell>
          <cell r="J527">
            <v>34</v>
          </cell>
          <cell r="L527">
            <v>1</v>
          </cell>
        </row>
        <row r="528">
          <cell r="B528">
            <v>2023</v>
          </cell>
          <cell r="C528">
            <v>1</v>
          </cell>
          <cell r="E528" t="str">
            <v>MIA</v>
          </cell>
          <cell r="I528">
            <v>36</v>
          </cell>
          <cell r="J528">
            <v>34</v>
          </cell>
          <cell r="L528">
            <v>0</v>
          </cell>
        </row>
        <row r="529">
          <cell r="B529">
            <v>2023</v>
          </cell>
          <cell r="C529">
            <v>2</v>
          </cell>
          <cell r="E529" t="str">
            <v>MIA</v>
          </cell>
          <cell r="I529">
            <v>24</v>
          </cell>
          <cell r="J529">
            <v>17</v>
          </cell>
          <cell r="L529">
            <v>0</v>
          </cell>
        </row>
        <row r="530">
          <cell r="B530">
            <v>2023</v>
          </cell>
          <cell r="C530">
            <v>3</v>
          </cell>
          <cell r="E530" t="str">
            <v>MIA</v>
          </cell>
          <cell r="I530">
            <v>70</v>
          </cell>
          <cell r="J530">
            <v>20</v>
          </cell>
          <cell r="L530">
            <v>0</v>
          </cell>
        </row>
        <row r="531">
          <cell r="B531">
            <v>2023</v>
          </cell>
          <cell r="C531">
            <v>4</v>
          </cell>
          <cell r="E531" t="str">
            <v>MIA</v>
          </cell>
          <cell r="I531">
            <v>20</v>
          </cell>
          <cell r="J531">
            <v>48</v>
          </cell>
          <cell r="L531">
            <v>0</v>
          </cell>
        </row>
        <row r="532">
          <cell r="B532">
            <v>2023</v>
          </cell>
          <cell r="C532">
            <v>5</v>
          </cell>
          <cell r="E532" t="str">
            <v>MIA</v>
          </cell>
          <cell r="I532">
            <v>31</v>
          </cell>
          <cell r="J532">
            <v>16</v>
          </cell>
          <cell r="L532">
            <v>0</v>
          </cell>
        </row>
        <row r="533">
          <cell r="B533">
            <v>2023</v>
          </cell>
          <cell r="C533">
            <v>6</v>
          </cell>
          <cell r="E533" t="str">
            <v>MIA</v>
          </cell>
          <cell r="I533">
            <v>42</v>
          </cell>
          <cell r="J533">
            <v>21</v>
          </cell>
          <cell r="L533">
            <v>0</v>
          </cell>
        </row>
        <row r="534">
          <cell r="B534">
            <v>2023</v>
          </cell>
          <cell r="C534">
            <v>7</v>
          </cell>
          <cell r="E534" t="str">
            <v>MIA</v>
          </cell>
          <cell r="I534">
            <v>17</v>
          </cell>
          <cell r="J534">
            <v>31</v>
          </cell>
          <cell r="L534">
            <v>0</v>
          </cell>
        </row>
        <row r="535">
          <cell r="B535">
            <v>2023</v>
          </cell>
          <cell r="C535">
            <v>8</v>
          </cell>
          <cell r="E535" t="str">
            <v>MIA</v>
          </cell>
          <cell r="I535">
            <v>31</v>
          </cell>
          <cell r="J535">
            <v>17</v>
          </cell>
          <cell r="L535">
            <v>0</v>
          </cell>
        </row>
        <row r="536">
          <cell r="B536">
            <v>2023</v>
          </cell>
          <cell r="C536">
            <v>9</v>
          </cell>
          <cell r="E536" t="str">
            <v>MIA</v>
          </cell>
          <cell r="I536">
            <v>14</v>
          </cell>
          <cell r="J536">
            <v>21</v>
          </cell>
          <cell r="L536">
            <v>0</v>
          </cell>
        </row>
        <row r="537">
          <cell r="B537">
            <v>2023</v>
          </cell>
          <cell r="C537">
            <v>11</v>
          </cell>
          <cell r="E537" t="str">
            <v>MIA</v>
          </cell>
          <cell r="I537">
            <v>20</v>
          </cell>
          <cell r="J537">
            <v>13</v>
          </cell>
          <cell r="L537">
            <v>0</v>
          </cell>
        </row>
        <row r="538">
          <cell r="B538">
            <v>2023</v>
          </cell>
          <cell r="C538">
            <v>12</v>
          </cell>
          <cell r="E538" t="str">
            <v>MIA</v>
          </cell>
          <cell r="I538">
            <v>34</v>
          </cell>
          <cell r="J538">
            <v>13</v>
          </cell>
          <cell r="L538">
            <v>0</v>
          </cell>
        </row>
        <row r="539">
          <cell r="B539">
            <v>2023</v>
          </cell>
          <cell r="C539">
            <v>13</v>
          </cell>
          <cell r="E539" t="str">
            <v>MIA</v>
          </cell>
          <cell r="I539">
            <v>45</v>
          </cell>
          <cell r="J539">
            <v>15</v>
          </cell>
          <cell r="L539">
            <v>0</v>
          </cell>
        </row>
        <row r="540">
          <cell r="B540">
            <v>2023</v>
          </cell>
          <cell r="C540">
            <v>14</v>
          </cell>
          <cell r="E540" t="str">
            <v>MIA</v>
          </cell>
          <cell r="I540">
            <v>27</v>
          </cell>
          <cell r="J540">
            <v>28</v>
          </cell>
          <cell r="L540">
            <v>0</v>
          </cell>
        </row>
        <row r="541">
          <cell r="B541">
            <v>2023</v>
          </cell>
          <cell r="C541">
            <v>15</v>
          </cell>
          <cell r="E541" t="str">
            <v>MIA</v>
          </cell>
          <cell r="I541">
            <v>30</v>
          </cell>
          <cell r="J541">
            <v>0</v>
          </cell>
          <cell r="L541">
            <v>0</v>
          </cell>
        </row>
        <row r="542">
          <cell r="B542">
            <v>2023</v>
          </cell>
          <cell r="C542">
            <v>16</v>
          </cell>
          <cell r="E542" t="str">
            <v>MIA</v>
          </cell>
          <cell r="I542">
            <v>22</v>
          </cell>
          <cell r="J542">
            <v>20</v>
          </cell>
          <cell r="L542">
            <v>0</v>
          </cell>
        </row>
        <row r="543">
          <cell r="B543">
            <v>2023</v>
          </cell>
          <cell r="C543">
            <v>17</v>
          </cell>
          <cell r="E543" t="str">
            <v>MIA</v>
          </cell>
          <cell r="I543">
            <v>19</v>
          </cell>
          <cell r="J543">
            <v>56</v>
          </cell>
          <cell r="L543">
            <v>0</v>
          </cell>
        </row>
        <row r="544">
          <cell r="B544">
            <v>2023</v>
          </cell>
          <cell r="C544">
            <v>18</v>
          </cell>
          <cell r="E544" t="str">
            <v>MIA</v>
          </cell>
          <cell r="I544">
            <v>14</v>
          </cell>
          <cell r="J544">
            <v>21</v>
          </cell>
          <cell r="L544">
            <v>0</v>
          </cell>
        </row>
        <row r="545">
          <cell r="B545">
            <v>2023</v>
          </cell>
          <cell r="C545">
            <v>1</v>
          </cell>
          <cell r="E545" t="str">
            <v>MIA</v>
          </cell>
          <cell r="I545">
            <v>7</v>
          </cell>
          <cell r="J545">
            <v>26</v>
          </cell>
          <cell r="L545">
            <v>1</v>
          </cell>
        </row>
        <row r="546">
          <cell r="B546">
            <v>2024</v>
          </cell>
          <cell r="C546">
            <v>1</v>
          </cell>
          <cell r="E546" t="str">
            <v>MIA</v>
          </cell>
          <cell r="I546">
            <v>20</v>
          </cell>
          <cell r="J546">
            <v>17</v>
          </cell>
          <cell r="L546">
            <v>0</v>
          </cell>
        </row>
        <row r="547">
          <cell r="B547">
            <v>2024</v>
          </cell>
          <cell r="C547">
            <v>2</v>
          </cell>
          <cell r="E547" t="str">
            <v>MIA</v>
          </cell>
          <cell r="I547">
            <v>10</v>
          </cell>
          <cell r="J547">
            <v>31</v>
          </cell>
          <cell r="L547">
            <v>0</v>
          </cell>
        </row>
        <row r="548">
          <cell r="B548">
            <v>2024</v>
          </cell>
          <cell r="C548">
            <v>3</v>
          </cell>
          <cell r="E548" t="str">
            <v>MIA</v>
          </cell>
          <cell r="I548">
            <v>3</v>
          </cell>
          <cell r="J548">
            <v>24</v>
          </cell>
          <cell r="L548">
            <v>0</v>
          </cell>
        </row>
        <row r="549">
          <cell r="B549">
            <v>2024</v>
          </cell>
          <cell r="C549">
            <v>4</v>
          </cell>
          <cell r="E549" t="str">
            <v>MIA</v>
          </cell>
          <cell r="I549">
            <v>12</v>
          </cell>
          <cell r="J549">
            <v>31</v>
          </cell>
          <cell r="L549">
            <v>0</v>
          </cell>
        </row>
        <row r="550">
          <cell r="B550">
            <v>2024</v>
          </cell>
          <cell r="C550">
            <v>5</v>
          </cell>
          <cell r="E550" t="str">
            <v>MIA</v>
          </cell>
          <cell r="I550">
            <v>15</v>
          </cell>
          <cell r="J550">
            <v>10</v>
          </cell>
          <cell r="L550">
            <v>0</v>
          </cell>
        </row>
        <row r="551">
          <cell r="B551">
            <v>2024</v>
          </cell>
          <cell r="C551">
            <v>7</v>
          </cell>
          <cell r="E551" t="str">
            <v>MIA</v>
          </cell>
          <cell r="I551">
            <v>10</v>
          </cell>
          <cell r="J551">
            <v>16</v>
          </cell>
          <cell r="L551">
            <v>0</v>
          </cell>
        </row>
        <row r="552">
          <cell r="B552">
            <v>2024</v>
          </cell>
          <cell r="C552">
            <v>8</v>
          </cell>
          <cell r="E552" t="str">
            <v>MIA</v>
          </cell>
          <cell r="I552">
            <v>27</v>
          </cell>
          <cell r="J552">
            <v>28</v>
          </cell>
          <cell r="L552">
            <v>0</v>
          </cell>
        </row>
        <row r="553">
          <cell r="B553">
            <v>2024</v>
          </cell>
          <cell r="C553">
            <v>9</v>
          </cell>
          <cell r="E553" t="str">
            <v>MIA</v>
          </cell>
          <cell r="I553">
            <v>27</v>
          </cell>
          <cell r="J553">
            <v>30</v>
          </cell>
          <cell r="L553">
            <v>0</v>
          </cell>
        </row>
        <row r="554">
          <cell r="B554">
            <v>2024</v>
          </cell>
          <cell r="C554">
            <v>10</v>
          </cell>
          <cell r="E554" t="str">
            <v>MIA</v>
          </cell>
          <cell r="I554">
            <v>23</v>
          </cell>
          <cell r="J554">
            <v>15</v>
          </cell>
          <cell r="L554">
            <v>0</v>
          </cell>
        </row>
        <row r="555">
          <cell r="B555">
            <v>2024</v>
          </cell>
          <cell r="C555">
            <v>11</v>
          </cell>
          <cell r="E555" t="str">
            <v>MIA</v>
          </cell>
          <cell r="I555">
            <v>34</v>
          </cell>
          <cell r="J555">
            <v>19</v>
          </cell>
          <cell r="L555">
            <v>0</v>
          </cell>
        </row>
        <row r="556">
          <cell r="B556">
            <v>2024</v>
          </cell>
          <cell r="C556">
            <v>12</v>
          </cell>
          <cell r="E556" t="str">
            <v>MIA</v>
          </cell>
          <cell r="I556">
            <v>34</v>
          </cell>
          <cell r="J556">
            <v>15</v>
          </cell>
          <cell r="L556">
            <v>0</v>
          </cell>
        </row>
        <row r="557">
          <cell r="B557">
            <v>2024</v>
          </cell>
          <cell r="C557">
            <v>13</v>
          </cell>
          <cell r="E557" t="str">
            <v>MIA</v>
          </cell>
          <cell r="I557">
            <v>17</v>
          </cell>
          <cell r="J557">
            <v>30</v>
          </cell>
          <cell r="L557">
            <v>0</v>
          </cell>
        </row>
        <row r="558">
          <cell r="B558">
            <v>2024</v>
          </cell>
          <cell r="C558">
            <v>14</v>
          </cell>
          <cell r="E558" t="str">
            <v>MIA</v>
          </cell>
          <cell r="I558">
            <v>32</v>
          </cell>
          <cell r="J558">
            <v>26</v>
          </cell>
          <cell r="L558">
            <v>0</v>
          </cell>
        </row>
        <row r="559">
          <cell r="B559">
            <v>2024</v>
          </cell>
          <cell r="C559">
            <v>15</v>
          </cell>
          <cell r="E559" t="str">
            <v>MIA</v>
          </cell>
          <cell r="I559">
            <v>12</v>
          </cell>
          <cell r="J559">
            <v>20</v>
          </cell>
          <cell r="L559">
            <v>0</v>
          </cell>
        </row>
        <row r="560">
          <cell r="B560">
            <v>2024</v>
          </cell>
          <cell r="C560">
            <v>16</v>
          </cell>
          <cell r="E560" t="str">
            <v>MIA</v>
          </cell>
          <cell r="I560">
            <v>29</v>
          </cell>
          <cell r="J560">
            <v>17</v>
          </cell>
          <cell r="L560">
            <v>0</v>
          </cell>
        </row>
        <row r="561">
          <cell r="B561">
            <v>2024</v>
          </cell>
          <cell r="C561">
            <v>17</v>
          </cell>
          <cell r="E561" t="str">
            <v>MIA</v>
          </cell>
          <cell r="I561">
            <v>20</v>
          </cell>
          <cell r="J561">
            <v>3</v>
          </cell>
          <cell r="L561">
            <v>0</v>
          </cell>
        </row>
        <row r="562">
          <cell r="B562">
            <v>2024</v>
          </cell>
          <cell r="C562">
            <v>18</v>
          </cell>
          <cell r="E562" t="str">
            <v>MIA</v>
          </cell>
          <cell r="I562">
            <v>20</v>
          </cell>
          <cell r="J562">
            <v>32</v>
          </cell>
          <cell r="L562">
            <v>0</v>
          </cell>
        </row>
        <row r="563">
          <cell r="B563">
            <v>2025</v>
          </cell>
          <cell r="C563">
            <v>1</v>
          </cell>
          <cell r="E563" t="str">
            <v>MIA</v>
          </cell>
          <cell r="I563">
            <v>8</v>
          </cell>
          <cell r="J563">
            <v>33</v>
          </cell>
          <cell r="L563">
            <v>0</v>
          </cell>
        </row>
        <row r="564">
          <cell r="B564">
            <v>2025</v>
          </cell>
          <cell r="C564">
            <v>2</v>
          </cell>
          <cell r="E564" t="str">
            <v>MIA</v>
          </cell>
          <cell r="I564">
            <v>27</v>
          </cell>
          <cell r="J564">
            <v>33</v>
          </cell>
          <cell r="L564">
            <v>0</v>
          </cell>
        </row>
        <row r="565">
          <cell r="B565">
            <v>2025</v>
          </cell>
          <cell r="C565">
            <v>3</v>
          </cell>
          <cell r="E565" t="str">
            <v>MIA</v>
          </cell>
          <cell r="I565">
            <v>21</v>
          </cell>
          <cell r="J565">
            <v>31</v>
          </cell>
          <cell r="L565">
            <v>0</v>
          </cell>
        </row>
        <row r="566">
          <cell r="B566">
            <v>2025</v>
          </cell>
          <cell r="C566">
            <v>4</v>
          </cell>
          <cell r="E566" t="str">
            <v>MIA</v>
          </cell>
          <cell r="I566">
            <v>27</v>
          </cell>
          <cell r="J566">
            <v>21</v>
          </cell>
          <cell r="L566">
            <v>0</v>
          </cell>
        </row>
        <row r="567">
          <cell r="B567">
            <v>2025</v>
          </cell>
          <cell r="C567">
            <v>5</v>
          </cell>
          <cell r="E567" t="str">
            <v>MIA</v>
          </cell>
          <cell r="I567">
            <v>24</v>
          </cell>
          <cell r="J567">
            <v>27</v>
          </cell>
          <cell r="L567">
            <v>0</v>
          </cell>
        </row>
        <row r="568">
          <cell r="B568">
            <v>2025</v>
          </cell>
          <cell r="C568">
            <v>6</v>
          </cell>
          <cell r="E568" t="str">
            <v>MIA</v>
          </cell>
          <cell r="I568">
            <v>27</v>
          </cell>
          <cell r="J568">
            <v>29</v>
          </cell>
          <cell r="L568">
            <v>0</v>
          </cell>
        </row>
        <row r="569">
          <cell r="B569">
            <v>2025</v>
          </cell>
          <cell r="C569">
            <v>7</v>
          </cell>
          <cell r="E569" t="str">
            <v>MIA</v>
          </cell>
          <cell r="I569">
            <v>6</v>
          </cell>
          <cell r="J569">
            <v>31</v>
          </cell>
          <cell r="L569">
            <v>0</v>
          </cell>
        </row>
        <row r="570">
          <cell r="B570">
            <v>2025</v>
          </cell>
          <cell r="C570">
            <v>8</v>
          </cell>
          <cell r="E570" t="str">
            <v>MIA</v>
          </cell>
          <cell r="I570">
            <v>34</v>
          </cell>
          <cell r="J570">
            <v>10</v>
          </cell>
          <cell r="L570">
            <v>0</v>
          </cell>
        </row>
        <row r="571">
          <cell r="B571">
            <v>2025</v>
          </cell>
          <cell r="C571">
            <v>9</v>
          </cell>
          <cell r="E571" t="str">
            <v>MIA</v>
          </cell>
          <cell r="I571">
            <v>6</v>
          </cell>
          <cell r="J571">
            <v>28</v>
          </cell>
          <cell r="L571">
            <v>0</v>
          </cell>
        </row>
        <row r="572">
          <cell r="B572">
            <v>2025</v>
          </cell>
          <cell r="C572">
            <v>10</v>
          </cell>
          <cell r="E572" t="str">
            <v>MIA</v>
          </cell>
          <cell r="I572">
            <v>30</v>
          </cell>
          <cell r="J572">
            <v>13</v>
          </cell>
          <cell r="L572">
            <v>0</v>
          </cell>
        </row>
        <row r="573">
          <cell r="B573">
            <v>2025</v>
          </cell>
          <cell r="C573">
            <v>11</v>
          </cell>
          <cell r="E573" t="str">
            <v>MIA</v>
          </cell>
          <cell r="I573">
            <v>16</v>
          </cell>
          <cell r="J573">
            <v>13</v>
          </cell>
          <cell r="L573">
            <v>0</v>
          </cell>
        </row>
        <row r="574">
          <cell r="B574">
            <v>2025</v>
          </cell>
          <cell r="C574">
            <v>13</v>
          </cell>
          <cell r="E574" t="str">
            <v>MIA</v>
          </cell>
          <cell r="I574">
            <v>21</v>
          </cell>
          <cell r="J574">
            <v>17</v>
          </cell>
          <cell r="L574">
            <v>0</v>
          </cell>
        </row>
        <row r="575">
          <cell r="B575">
            <v>2025</v>
          </cell>
          <cell r="C575">
            <v>14</v>
          </cell>
          <cell r="E575" t="str">
            <v>MIA</v>
          </cell>
          <cell r="I575">
            <v>34</v>
          </cell>
          <cell r="J575">
            <v>10</v>
          </cell>
          <cell r="L575">
            <v>0</v>
          </cell>
        </row>
        <row r="576">
          <cell r="B576">
            <v>2025</v>
          </cell>
          <cell r="C576">
            <v>15</v>
          </cell>
          <cell r="E576" t="str">
            <v>MIA</v>
          </cell>
          <cell r="I576">
            <v>15</v>
          </cell>
          <cell r="J576">
            <v>28</v>
          </cell>
          <cell r="L576">
            <v>0</v>
          </cell>
        </row>
        <row r="577">
          <cell r="B577">
            <v>2025</v>
          </cell>
          <cell r="C577">
            <v>16</v>
          </cell>
          <cell r="E577" t="str">
            <v>MIA</v>
          </cell>
          <cell r="I577">
            <v>21</v>
          </cell>
          <cell r="J577">
            <v>45</v>
          </cell>
          <cell r="L577">
            <v>0</v>
          </cell>
        </row>
        <row r="578">
          <cell r="B578">
            <v>2025</v>
          </cell>
          <cell r="C578">
            <v>17</v>
          </cell>
          <cell r="E578" t="str">
            <v>MIA</v>
          </cell>
          <cell r="I578">
            <v>20</v>
          </cell>
          <cell r="J578">
            <v>17</v>
          </cell>
          <cell r="L578">
            <v>0</v>
          </cell>
        </row>
        <row r="579">
          <cell r="B579">
            <v>2025</v>
          </cell>
          <cell r="C579">
            <v>18</v>
          </cell>
          <cell r="E579" t="str">
            <v>MIA</v>
          </cell>
          <cell r="I579">
            <v>10</v>
          </cell>
          <cell r="J579">
            <v>38</v>
          </cell>
          <cell r="L579">
            <v>0</v>
          </cell>
        </row>
        <row r="580">
          <cell r="B580">
            <v>2026</v>
          </cell>
          <cell r="C580">
            <v>1</v>
          </cell>
          <cell r="E580" t="str">
            <v>MIA</v>
          </cell>
          <cell r="I580">
            <v>13</v>
          </cell>
          <cell r="J580">
            <v>27</v>
          </cell>
          <cell r="L580">
            <v>0</v>
          </cell>
        </row>
        <row r="581">
          <cell r="B581">
            <v>2026</v>
          </cell>
          <cell r="C581">
            <v>2</v>
          </cell>
          <cell r="E581" t="str">
            <v>MIA</v>
          </cell>
          <cell r="I581">
            <v>13</v>
          </cell>
          <cell r="J581">
            <v>35</v>
          </cell>
          <cell r="L581">
            <v>0</v>
          </cell>
        </row>
        <row r="582">
          <cell r="B582">
            <v>2026</v>
          </cell>
          <cell r="C582">
            <v>3</v>
          </cell>
          <cell r="E582" t="str">
            <v>MIA</v>
          </cell>
          <cell r="I582">
            <v>10</v>
          </cell>
          <cell r="J582">
            <v>24</v>
          </cell>
          <cell r="L582">
            <v>0</v>
          </cell>
        </row>
        <row r="583">
          <cell r="B583">
            <v>2026</v>
          </cell>
          <cell r="C583">
            <v>4</v>
          </cell>
          <cell r="E583" t="str">
            <v>MIA</v>
          </cell>
          <cell r="I583">
            <v>10</v>
          </cell>
          <cell r="J583">
            <v>15</v>
          </cell>
          <cell r="L583">
            <v>0</v>
          </cell>
        </row>
        <row r="584">
          <cell r="B584">
            <v>2026</v>
          </cell>
          <cell r="C584">
            <v>5</v>
          </cell>
          <cell r="E584" t="str">
            <v>MIA</v>
          </cell>
          <cell r="I584">
            <v>24</v>
          </cell>
          <cell r="J584">
            <v>31</v>
          </cell>
          <cell r="L584">
            <v>0</v>
          </cell>
        </row>
        <row r="585">
          <cell r="B585">
            <v>2026</v>
          </cell>
          <cell r="C585">
            <v>7</v>
          </cell>
          <cell r="E585" t="str">
            <v>MIA</v>
          </cell>
          <cell r="L585">
            <v>0</v>
          </cell>
        </row>
        <row r="586">
          <cell r="B586">
            <v>2018</v>
          </cell>
          <cell r="C586">
            <v>1</v>
          </cell>
          <cell r="E586" t="str">
            <v>BAL</v>
          </cell>
          <cell r="I586">
            <v>47</v>
          </cell>
          <cell r="J586">
            <v>3</v>
          </cell>
          <cell r="L586">
            <v>0</v>
          </cell>
        </row>
        <row r="587">
          <cell r="B587">
            <v>2018</v>
          </cell>
          <cell r="C587">
            <v>2</v>
          </cell>
          <cell r="E587" t="str">
            <v>BAL</v>
          </cell>
          <cell r="I587">
            <v>23</v>
          </cell>
          <cell r="J587">
            <v>34</v>
          </cell>
          <cell r="L587">
            <v>0</v>
          </cell>
        </row>
        <row r="588">
          <cell r="B588">
            <v>2018</v>
          </cell>
          <cell r="C588">
            <v>3</v>
          </cell>
          <cell r="E588" t="str">
            <v>BAL</v>
          </cell>
          <cell r="I588">
            <v>27</v>
          </cell>
          <cell r="J588">
            <v>14</v>
          </cell>
          <cell r="L588">
            <v>0</v>
          </cell>
        </row>
        <row r="589">
          <cell r="B589">
            <v>2018</v>
          </cell>
          <cell r="C589">
            <v>4</v>
          </cell>
          <cell r="E589" t="str">
            <v>BAL</v>
          </cell>
          <cell r="I589">
            <v>26</v>
          </cell>
          <cell r="J589">
            <v>14</v>
          </cell>
          <cell r="L589">
            <v>0</v>
          </cell>
        </row>
        <row r="590">
          <cell r="B590">
            <v>2018</v>
          </cell>
          <cell r="C590">
            <v>5</v>
          </cell>
          <cell r="E590" t="str">
            <v>BAL</v>
          </cell>
          <cell r="I590">
            <v>9</v>
          </cell>
          <cell r="J590">
            <v>12</v>
          </cell>
          <cell r="L590">
            <v>0</v>
          </cell>
        </row>
        <row r="591">
          <cell r="B591">
            <v>2018</v>
          </cell>
          <cell r="C591">
            <v>6</v>
          </cell>
          <cell r="E591" t="str">
            <v>BAL</v>
          </cell>
          <cell r="I591">
            <v>21</v>
          </cell>
          <cell r="J591">
            <v>0</v>
          </cell>
          <cell r="L591">
            <v>0</v>
          </cell>
        </row>
        <row r="592">
          <cell r="B592">
            <v>2018</v>
          </cell>
          <cell r="C592">
            <v>7</v>
          </cell>
          <cell r="E592" t="str">
            <v>BAL</v>
          </cell>
          <cell r="I592">
            <v>23</v>
          </cell>
          <cell r="J592">
            <v>24</v>
          </cell>
          <cell r="L592">
            <v>0</v>
          </cell>
        </row>
        <row r="593">
          <cell r="B593">
            <v>2018</v>
          </cell>
          <cell r="C593">
            <v>8</v>
          </cell>
          <cell r="E593" t="str">
            <v>BAL</v>
          </cell>
          <cell r="I593">
            <v>21</v>
          </cell>
          <cell r="J593">
            <v>36</v>
          </cell>
          <cell r="L593">
            <v>0</v>
          </cell>
        </row>
        <row r="594">
          <cell r="B594">
            <v>2018</v>
          </cell>
          <cell r="C594">
            <v>9</v>
          </cell>
          <cell r="E594" t="str">
            <v>BAL</v>
          </cell>
          <cell r="I594">
            <v>16</v>
          </cell>
          <cell r="J594">
            <v>23</v>
          </cell>
          <cell r="L594">
            <v>0</v>
          </cell>
        </row>
        <row r="595">
          <cell r="B595">
            <v>2018</v>
          </cell>
          <cell r="C595">
            <v>11</v>
          </cell>
          <cell r="E595" t="str">
            <v>BAL</v>
          </cell>
          <cell r="I595">
            <v>24</v>
          </cell>
          <cell r="J595">
            <v>21</v>
          </cell>
          <cell r="L595">
            <v>0</v>
          </cell>
        </row>
        <row r="596">
          <cell r="B596">
            <v>2018</v>
          </cell>
          <cell r="C596">
            <v>12</v>
          </cell>
          <cell r="E596" t="str">
            <v>BAL</v>
          </cell>
          <cell r="I596">
            <v>34</v>
          </cell>
          <cell r="J596">
            <v>17</v>
          </cell>
          <cell r="L596">
            <v>0</v>
          </cell>
        </row>
        <row r="597">
          <cell r="B597">
            <v>2018</v>
          </cell>
          <cell r="C597">
            <v>13</v>
          </cell>
          <cell r="E597" t="str">
            <v>BAL</v>
          </cell>
          <cell r="I597">
            <v>26</v>
          </cell>
          <cell r="J597">
            <v>16</v>
          </cell>
          <cell r="L597">
            <v>0</v>
          </cell>
        </row>
        <row r="598">
          <cell r="B598">
            <v>2018</v>
          </cell>
          <cell r="C598">
            <v>14</v>
          </cell>
          <cell r="E598" t="str">
            <v>BAL</v>
          </cell>
          <cell r="I598">
            <v>24</v>
          </cell>
          <cell r="J598">
            <v>27</v>
          </cell>
          <cell r="L598">
            <v>0</v>
          </cell>
        </row>
        <row r="599">
          <cell r="B599">
            <v>2018</v>
          </cell>
          <cell r="C599">
            <v>15</v>
          </cell>
          <cell r="E599" t="str">
            <v>BAL</v>
          </cell>
          <cell r="I599">
            <v>20</v>
          </cell>
          <cell r="J599">
            <v>12</v>
          </cell>
          <cell r="L599">
            <v>0</v>
          </cell>
        </row>
        <row r="600">
          <cell r="B600">
            <v>2018</v>
          </cell>
          <cell r="C600">
            <v>16</v>
          </cell>
          <cell r="E600" t="str">
            <v>BAL</v>
          </cell>
          <cell r="I600">
            <v>22</v>
          </cell>
          <cell r="J600">
            <v>10</v>
          </cell>
          <cell r="L600">
            <v>0</v>
          </cell>
        </row>
        <row r="601">
          <cell r="B601">
            <v>2018</v>
          </cell>
          <cell r="C601">
            <v>17</v>
          </cell>
          <cell r="E601" t="str">
            <v>BAL</v>
          </cell>
          <cell r="I601">
            <v>26</v>
          </cell>
          <cell r="J601">
            <v>24</v>
          </cell>
          <cell r="L601">
            <v>0</v>
          </cell>
        </row>
        <row r="602">
          <cell r="B602">
            <v>2018</v>
          </cell>
          <cell r="C602">
            <v>1</v>
          </cell>
          <cell r="E602" t="str">
            <v>BAL</v>
          </cell>
          <cell r="I602">
            <v>17</v>
          </cell>
          <cell r="J602">
            <v>23</v>
          </cell>
          <cell r="L602">
            <v>1</v>
          </cell>
        </row>
        <row r="603">
          <cell r="B603">
            <v>2019</v>
          </cell>
          <cell r="C603">
            <v>1</v>
          </cell>
          <cell r="E603" t="str">
            <v>BAL</v>
          </cell>
          <cell r="I603">
            <v>59</v>
          </cell>
          <cell r="J603">
            <v>10</v>
          </cell>
          <cell r="L603">
            <v>0</v>
          </cell>
        </row>
        <row r="604">
          <cell r="B604">
            <v>2019</v>
          </cell>
          <cell r="C604">
            <v>2</v>
          </cell>
          <cell r="E604" t="str">
            <v>BAL</v>
          </cell>
          <cell r="I604">
            <v>23</v>
          </cell>
          <cell r="J604">
            <v>17</v>
          </cell>
          <cell r="L604">
            <v>0</v>
          </cell>
        </row>
        <row r="605">
          <cell r="B605">
            <v>2019</v>
          </cell>
          <cell r="C605">
            <v>3</v>
          </cell>
          <cell r="E605" t="str">
            <v>BAL</v>
          </cell>
          <cell r="I605">
            <v>28</v>
          </cell>
          <cell r="J605">
            <v>33</v>
          </cell>
          <cell r="L605">
            <v>0</v>
          </cell>
        </row>
        <row r="606">
          <cell r="B606">
            <v>2019</v>
          </cell>
          <cell r="C606">
            <v>4</v>
          </cell>
          <cell r="E606" t="str">
            <v>BAL</v>
          </cell>
          <cell r="I606">
            <v>25</v>
          </cell>
          <cell r="J606">
            <v>40</v>
          </cell>
          <cell r="L606">
            <v>0</v>
          </cell>
        </row>
        <row r="607">
          <cell r="B607">
            <v>2019</v>
          </cell>
          <cell r="C607">
            <v>5</v>
          </cell>
          <cell r="E607" t="str">
            <v>BAL</v>
          </cell>
          <cell r="I607">
            <v>26</v>
          </cell>
          <cell r="J607">
            <v>23</v>
          </cell>
          <cell r="L607">
            <v>0</v>
          </cell>
        </row>
        <row r="608">
          <cell r="B608">
            <v>2019</v>
          </cell>
          <cell r="C608">
            <v>6</v>
          </cell>
          <cell r="E608" t="str">
            <v>BAL</v>
          </cell>
          <cell r="I608">
            <v>23</v>
          </cell>
          <cell r="J608">
            <v>17</v>
          </cell>
          <cell r="L608">
            <v>0</v>
          </cell>
        </row>
        <row r="609">
          <cell r="B609">
            <v>2019</v>
          </cell>
          <cell r="C609">
            <v>7</v>
          </cell>
          <cell r="E609" t="str">
            <v>BAL</v>
          </cell>
          <cell r="I609">
            <v>30</v>
          </cell>
          <cell r="J609">
            <v>16</v>
          </cell>
          <cell r="L609">
            <v>0</v>
          </cell>
        </row>
        <row r="610">
          <cell r="B610">
            <v>2019</v>
          </cell>
          <cell r="C610">
            <v>9</v>
          </cell>
          <cell r="E610" t="str">
            <v>BAL</v>
          </cell>
          <cell r="I610">
            <v>37</v>
          </cell>
          <cell r="J610">
            <v>20</v>
          </cell>
          <cell r="L610">
            <v>0</v>
          </cell>
        </row>
        <row r="611">
          <cell r="B611">
            <v>2019</v>
          </cell>
          <cell r="C611">
            <v>10</v>
          </cell>
          <cell r="E611" t="str">
            <v>BAL</v>
          </cell>
          <cell r="I611">
            <v>49</v>
          </cell>
          <cell r="J611">
            <v>13</v>
          </cell>
          <cell r="L611">
            <v>0</v>
          </cell>
        </row>
        <row r="612">
          <cell r="B612">
            <v>2019</v>
          </cell>
          <cell r="C612">
            <v>11</v>
          </cell>
          <cell r="E612" t="str">
            <v>BAL</v>
          </cell>
          <cell r="I612">
            <v>41</v>
          </cell>
          <cell r="J612">
            <v>7</v>
          </cell>
          <cell r="L612">
            <v>0</v>
          </cell>
        </row>
        <row r="613">
          <cell r="B613">
            <v>2019</v>
          </cell>
          <cell r="C613">
            <v>12</v>
          </cell>
          <cell r="E613" t="str">
            <v>BAL</v>
          </cell>
          <cell r="I613">
            <v>45</v>
          </cell>
          <cell r="J613">
            <v>6</v>
          </cell>
          <cell r="L613">
            <v>0</v>
          </cell>
        </row>
        <row r="614">
          <cell r="B614">
            <v>2019</v>
          </cell>
          <cell r="C614">
            <v>13</v>
          </cell>
          <cell r="E614" t="str">
            <v>BAL</v>
          </cell>
          <cell r="I614">
            <v>20</v>
          </cell>
          <cell r="J614">
            <v>17</v>
          </cell>
          <cell r="L614">
            <v>0</v>
          </cell>
        </row>
        <row r="615">
          <cell r="B615">
            <v>2019</v>
          </cell>
          <cell r="C615">
            <v>14</v>
          </cell>
          <cell r="E615" t="str">
            <v>BAL</v>
          </cell>
          <cell r="I615">
            <v>24</v>
          </cell>
          <cell r="J615">
            <v>17</v>
          </cell>
          <cell r="L615">
            <v>0</v>
          </cell>
        </row>
        <row r="616">
          <cell r="B616">
            <v>2019</v>
          </cell>
          <cell r="C616">
            <v>15</v>
          </cell>
          <cell r="E616" t="str">
            <v>BAL</v>
          </cell>
          <cell r="I616">
            <v>42</v>
          </cell>
          <cell r="J616">
            <v>21</v>
          </cell>
          <cell r="L616">
            <v>0</v>
          </cell>
        </row>
        <row r="617">
          <cell r="B617">
            <v>2019</v>
          </cell>
          <cell r="C617">
            <v>16</v>
          </cell>
          <cell r="E617" t="str">
            <v>BAL</v>
          </cell>
          <cell r="I617">
            <v>31</v>
          </cell>
          <cell r="J617">
            <v>15</v>
          </cell>
          <cell r="L617">
            <v>0</v>
          </cell>
        </row>
        <row r="618">
          <cell r="B618">
            <v>2019</v>
          </cell>
          <cell r="C618">
            <v>17</v>
          </cell>
          <cell r="E618" t="str">
            <v>BAL</v>
          </cell>
          <cell r="I618">
            <v>28</v>
          </cell>
          <cell r="J618">
            <v>10</v>
          </cell>
          <cell r="L618">
            <v>0</v>
          </cell>
        </row>
        <row r="619">
          <cell r="B619">
            <v>2019</v>
          </cell>
          <cell r="C619">
            <v>2</v>
          </cell>
          <cell r="E619" t="str">
            <v>BAL</v>
          </cell>
          <cell r="I619">
            <v>12</v>
          </cell>
          <cell r="J619">
            <v>28</v>
          </cell>
          <cell r="L619">
            <v>1</v>
          </cell>
        </row>
        <row r="620">
          <cell r="B620">
            <v>2020</v>
          </cell>
          <cell r="C620">
            <v>1</v>
          </cell>
          <cell r="E620" t="str">
            <v>BAL</v>
          </cell>
          <cell r="I620">
            <v>38</v>
          </cell>
          <cell r="J620">
            <v>6</v>
          </cell>
          <cell r="L620">
            <v>0</v>
          </cell>
        </row>
        <row r="621">
          <cell r="B621">
            <v>2020</v>
          </cell>
          <cell r="C621">
            <v>2</v>
          </cell>
          <cell r="E621" t="str">
            <v>BAL</v>
          </cell>
          <cell r="I621">
            <v>33</v>
          </cell>
          <cell r="J621">
            <v>16</v>
          </cell>
          <cell r="L621">
            <v>0</v>
          </cell>
        </row>
        <row r="622">
          <cell r="B622">
            <v>2020</v>
          </cell>
          <cell r="C622">
            <v>3</v>
          </cell>
          <cell r="E622" t="str">
            <v>BAL</v>
          </cell>
          <cell r="I622">
            <v>20</v>
          </cell>
          <cell r="J622">
            <v>34</v>
          </cell>
          <cell r="L622">
            <v>0</v>
          </cell>
        </row>
        <row r="623">
          <cell r="B623">
            <v>2020</v>
          </cell>
          <cell r="C623">
            <v>4</v>
          </cell>
          <cell r="E623" t="str">
            <v>BAL</v>
          </cell>
          <cell r="I623">
            <v>31</v>
          </cell>
          <cell r="J623">
            <v>17</v>
          </cell>
          <cell r="L623">
            <v>0</v>
          </cell>
        </row>
        <row r="624">
          <cell r="B624">
            <v>2020</v>
          </cell>
          <cell r="C624">
            <v>5</v>
          </cell>
          <cell r="E624" t="str">
            <v>BAL</v>
          </cell>
          <cell r="I624">
            <v>27</v>
          </cell>
          <cell r="J624">
            <v>3</v>
          </cell>
          <cell r="L624">
            <v>0</v>
          </cell>
        </row>
        <row r="625">
          <cell r="B625">
            <v>2020</v>
          </cell>
          <cell r="C625">
            <v>6</v>
          </cell>
          <cell r="E625" t="str">
            <v>BAL</v>
          </cell>
          <cell r="I625">
            <v>30</v>
          </cell>
          <cell r="J625">
            <v>28</v>
          </cell>
          <cell r="L625">
            <v>0</v>
          </cell>
        </row>
        <row r="626">
          <cell r="B626">
            <v>2020</v>
          </cell>
          <cell r="C626">
            <v>8</v>
          </cell>
          <cell r="E626" t="str">
            <v>BAL</v>
          </cell>
          <cell r="I626">
            <v>24</v>
          </cell>
          <cell r="J626">
            <v>28</v>
          </cell>
          <cell r="L626">
            <v>0</v>
          </cell>
        </row>
        <row r="627">
          <cell r="B627">
            <v>2020</v>
          </cell>
          <cell r="C627">
            <v>9</v>
          </cell>
          <cell r="E627" t="str">
            <v>BAL</v>
          </cell>
          <cell r="I627">
            <v>24</v>
          </cell>
          <cell r="J627">
            <v>10</v>
          </cell>
          <cell r="L627">
            <v>0</v>
          </cell>
        </row>
        <row r="628">
          <cell r="B628">
            <v>2020</v>
          </cell>
          <cell r="C628">
            <v>10</v>
          </cell>
          <cell r="E628" t="str">
            <v>BAL</v>
          </cell>
          <cell r="I628">
            <v>17</v>
          </cell>
          <cell r="J628">
            <v>23</v>
          </cell>
          <cell r="L628">
            <v>0</v>
          </cell>
        </row>
        <row r="629">
          <cell r="B629">
            <v>2020</v>
          </cell>
          <cell r="C629">
            <v>11</v>
          </cell>
          <cell r="E629" t="str">
            <v>BAL</v>
          </cell>
          <cell r="I629">
            <v>24</v>
          </cell>
          <cell r="J629">
            <v>30</v>
          </cell>
          <cell r="L629">
            <v>0</v>
          </cell>
        </row>
        <row r="630">
          <cell r="B630">
            <v>2020</v>
          </cell>
          <cell r="C630">
            <v>12</v>
          </cell>
          <cell r="E630" t="str">
            <v>BAL</v>
          </cell>
          <cell r="I630">
            <v>14</v>
          </cell>
          <cell r="J630">
            <v>19</v>
          </cell>
          <cell r="L630">
            <v>0</v>
          </cell>
        </row>
        <row r="631">
          <cell r="B631">
            <v>2020</v>
          </cell>
          <cell r="C631">
            <v>13</v>
          </cell>
          <cell r="E631" t="str">
            <v>BAL</v>
          </cell>
          <cell r="I631">
            <v>34</v>
          </cell>
          <cell r="J631">
            <v>17</v>
          </cell>
          <cell r="L631">
            <v>0</v>
          </cell>
        </row>
        <row r="632">
          <cell r="B632">
            <v>2020</v>
          </cell>
          <cell r="C632">
            <v>14</v>
          </cell>
          <cell r="E632" t="str">
            <v>BAL</v>
          </cell>
          <cell r="I632">
            <v>47</v>
          </cell>
          <cell r="J632">
            <v>42</v>
          </cell>
          <cell r="L632">
            <v>0</v>
          </cell>
        </row>
        <row r="633">
          <cell r="B633">
            <v>2020</v>
          </cell>
          <cell r="C633">
            <v>15</v>
          </cell>
          <cell r="E633" t="str">
            <v>BAL</v>
          </cell>
          <cell r="I633">
            <v>40</v>
          </cell>
          <cell r="J633">
            <v>14</v>
          </cell>
          <cell r="L633">
            <v>0</v>
          </cell>
        </row>
        <row r="634">
          <cell r="B634">
            <v>2020</v>
          </cell>
          <cell r="C634">
            <v>16</v>
          </cell>
          <cell r="E634" t="str">
            <v>BAL</v>
          </cell>
          <cell r="I634">
            <v>27</v>
          </cell>
          <cell r="J634">
            <v>13</v>
          </cell>
          <cell r="L634">
            <v>0</v>
          </cell>
        </row>
        <row r="635">
          <cell r="B635">
            <v>2020</v>
          </cell>
          <cell r="C635">
            <v>17</v>
          </cell>
          <cell r="E635" t="str">
            <v>BAL</v>
          </cell>
          <cell r="I635">
            <v>38</v>
          </cell>
          <cell r="J635">
            <v>3</v>
          </cell>
          <cell r="L635">
            <v>0</v>
          </cell>
        </row>
        <row r="636">
          <cell r="B636">
            <v>2020</v>
          </cell>
          <cell r="C636">
            <v>1</v>
          </cell>
          <cell r="E636" t="str">
            <v>BAL</v>
          </cell>
          <cell r="I636">
            <v>20</v>
          </cell>
          <cell r="J636">
            <v>13</v>
          </cell>
          <cell r="L636">
            <v>1</v>
          </cell>
        </row>
        <row r="637">
          <cell r="B637">
            <v>2020</v>
          </cell>
          <cell r="C637">
            <v>2</v>
          </cell>
          <cell r="E637" t="str">
            <v>BAL</v>
          </cell>
          <cell r="I637">
            <v>3</v>
          </cell>
          <cell r="J637">
            <v>17</v>
          </cell>
          <cell r="L637">
            <v>1</v>
          </cell>
        </row>
        <row r="638">
          <cell r="B638">
            <v>2021</v>
          </cell>
          <cell r="C638">
            <v>1</v>
          </cell>
          <cell r="E638" t="str">
            <v>BAL</v>
          </cell>
          <cell r="I638">
            <v>27</v>
          </cell>
          <cell r="J638">
            <v>33</v>
          </cell>
          <cell r="L638">
            <v>0</v>
          </cell>
        </row>
        <row r="639">
          <cell r="B639">
            <v>2021</v>
          </cell>
          <cell r="C639">
            <v>2</v>
          </cell>
          <cell r="E639" t="str">
            <v>BAL</v>
          </cell>
          <cell r="I639">
            <v>36</v>
          </cell>
          <cell r="J639">
            <v>35</v>
          </cell>
          <cell r="L639">
            <v>0</v>
          </cell>
        </row>
        <row r="640">
          <cell r="B640">
            <v>2021</v>
          </cell>
          <cell r="C640">
            <v>3</v>
          </cell>
          <cell r="E640" t="str">
            <v>BAL</v>
          </cell>
          <cell r="I640">
            <v>19</v>
          </cell>
          <cell r="J640">
            <v>17</v>
          </cell>
          <cell r="L640">
            <v>0</v>
          </cell>
        </row>
        <row r="641">
          <cell r="B641">
            <v>2021</v>
          </cell>
          <cell r="C641">
            <v>4</v>
          </cell>
          <cell r="E641" t="str">
            <v>BAL</v>
          </cell>
          <cell r="I641">
            <v>23</v>
          </cell>
          <cell r="J641">
            <v>7</v>
          </cell>
          <cell r="L641">
            <v>0</v>
          </cell>
        </row>
        <row r="642">
          <cell r="B642">
            <v>2021</v>
          </cell>
          <cell r="C642">
            <v>5</v>
          </cell>
          <cell r="E642" t="str">
            <v>BAL</v>
          </cell>
          <cell r="I642">
            <v>31</v>
          </cell>
          <cell r="J642">
            <v>25</v>
          </cell>
          <cell r="L642">
            <v>0</v>
          </cell>
        </row>
        <row r="643">
          <cell r="B643">
            <v>2021</v>
          </cell>
          <cell r="C643">
            <v>6</v>
          </cell>
          <cell r="E643" t="str">
            <v>BAL</v>
          </cell>
          <cell r="I643">
            <v>34</v>
          </cell>
          <cell r="J643">
            <v>6</v>
          </cell>
          <cell r="L643">
            <v>0</v>
          </cell>
        </row>
        <row r="644">
          <cell r="B644">
            <v>2021</v>
          </cell>
          <cell r="C644">
            <v>7</v>
          </cell>
          <cell r="E644" t="str">
            <v>BAL</v>
          </cell>
          <cell r="I644">
            <v>17</v>
          </cell>
          <cell r="J644">
            <v>41</v>
          </cell>
          <cell r="L644">
            <v>0</v>
          </cell>
        </row>
        <row r="645">
          <cell r="B645">
            <v>2021</v>
          </cell>
          <cell r="C645">
            <v>9</v>
          </cell>
          <cell r="E645" t="str">
            <v>BAL</v>
          </cell>
          <cell r="I645">
            <v>34</v>
          </cell>
          <cell r="J645">
            <v>31</v>
          </cell>
          <cell r="L645">
            <v>0</v>
          </cell>
        </row>
        <row r="646">
          <cell r="B646">
            <v>2021</v>
          </cell>
          <cell r="C646">
            <v>10</v>
          </cell>
          <cell r="E646" t="str">
            <v>BAL</v>
          </cell>
          <cell r="I646">
            <v>10</v>
          </cell>
          <cell r="J646">
            <v>22</v>
          </cell>
          <cell r="L646">
            <v>0</v>
          </cell>
        </row>
        <row r="647">
          <cell r="B647">
            <v>2021</v>
          </cell>
          <cell r="C647">
            <v>11</v>
          </cell>
          <cell r="E647" t="str">
            <v>BAL</v>
          </cell>
          <cell r="I647">
            <v>16</v>
          </cell>
          <cell r="J647">
            <v>13</v>
          </cell>
          <cell r="L647">
            <v>0</v>
          </cell>
        </row>
        <row r="648">
          <cell r="B648">
            <v>2021</v>
          </cell>
          <cell r="C648">
            <v>12</v>
          </cell>
          <cell r="E648" t="str">
            <v>BAL</v>
          </cell>
          <cell r="I648">
            <v>16</v>
          </cell>
          <cell r="J648">
            <v>10</v>
          </cell>
          <cell r="L648">
            <v>0</v>
          </cell>
        </row>
        <row r="649">
          <cell r="B649">
            <v>2021</v>
          </cell>
          <cell r="C649">
            <v>13</v>
          </cell>
          <cell r="E649" t="str">
            <v>BAL</v>
          </cell>
          <cell r="I649">
            <v>19</v>
          </cell>
          <cell r="J649">
            <v>20</v>
          </cell>
          <cell r="L649">
            <v>0</v>
          </cell>
        </row>
        <row r="650">
          <cell r="B650">
            <v>2021</v>
          </cell>
          <cell r="C650">
            <v>14</v>
          </cell>
          <cell r="E650" t="str">
            <v>BAL</v>
          </cell>
          <cell r="I650">
            <v>22</v>
          </cell>
          <cell r="J650">
            <v>24</v>
          </cell>
          <cell r="L650">
            <v>0</v>
          </cell>
        </row>
        <row r="651">
          <cell r="B651">
            <v>2021</v>
          </cell>
          <cell r="C651">
            <v>15</v>
          </cell>
          <cell r="E651" t="str">
            <v>BAL</v>
          </cell>
          <cell r="I651">
            <v>30</v>
          </cell>
          <cell r="J651">
            <v>31</v>
          </cell>
          <cell r="L651">
            <v>0</v>
          </cell>
        </row>
        <row r="652">
          <cell r="B652">
            <v>2021</v>
          </cell>
          <cell r="C652">
            <v>16</v>
          </cell>
          <cell r="E652" t="str">
            <v>BAL</v>
          </cell>
          <cell r="I652">
            <v>21</v>
          </cell>
          <cell r="J652">
            <v>41</v>
          </cell>
          <cell r="L652">
            <v>0</v>
          </cell>
        </row>
        <row r="653">
          <cell r="B653">
            <v>2021</v>
          </cell>
          <cell r="C653">
            <v>17</v>
          </cell>
          <cell r="E653" t="str">
            <v>BAL</v>
          </cell>
          <cell r="I653">
            <v>19</v>
          </cell>
          <cell r="J653">
            <v>20</v>
          </cell>
          <cell r="L653">
            <v>0</v>
          </cell>
        </row>
        <row r="654">
          <cell r="B654">
            <v>2021</v>
          </cell>
          <cell r="C654">
            <v>18</v>
          </cell>
          <cell r="E654" t="str">
            <v>BAL</v>
          </cell>
          <cell r="I654">
            <v>13</v>
          </cell>
          <cell r="J654">
            <v>16</v>
          </cell>
          <cell r="L654">
            <v>0</v>
          </cell>
        </row>
        <row r="655">
          <cell r="B655">
            <v>2022</v>
          </cell>
          <cell r="C655">
            <v>1</v>
          </cell>
          <cell r="E655" t="str">
            <v>BAL</v>
          </cell>
          <cell r="I655">
            <v>24</v>
          </cell>
          <cell r="J655">
            <v>9</v>
          </cell>
          <cell r="L655">
            <v>0</v>
          </cell>
        </row>
        <row r="656">
          <cell r="B656">
            <v>2022</v>
          </cell>
          <cell r="C656">
            <v>2</v>
          </cell>
          <cell r="E656" t="str">
            <v>BAL</v>
          </cell>
          <cell r="I656">
            <v>38</v>
          </cell>
          <cell r="J656">
            <v>42</v>
          </cell>
          <cell r="L656">
            <v>0</v>
          </cell>
        </row>
        <row r="657">
          <cell r="B657">
            <v>2022</v>
          </cell>
          <cell r="C657">
            <v>3</v>
          </cell>
          <cell r="E657" t="str">
            <v>BAL</v>
          </cell>
          <cell r="I657">
            <v>37</v>
          </cell>
          <cell r="J657">
            <v>26</v>
          </cell>
          <cell r="L657">
            <v>0</v>
          </cell>
        </row>
        <row r="658">
          <cell r="B658">
            <v>2022</v>
          </cell>
          <cell r="C658">
            <v>4</v>
          </cell>
          <cell r="E658" t="str">
            <v>BAL</v>
          </cell>
          <cell r="I658">
            <v>20</v>
          </cell>
          <cell r="J658">
            <v>23</v>
          </cell>
          <cell r="L658">
            <v>0</v>
          </cell>
        </row>
        <row r="659">
          <cell r="B659">
            <v>2022</v>
          </cell>
          <cell r="C659">
            <v>5</v>
          </cell>
          <cell r="E659" t="str">
            <v>BAL</v>
          </cell>
          <cell r="I659">
            <v>19</v>
          </cell>
          <cell r="J659">
            <v>17</v>
          </cell>
          <cell r="L659">
            <v>0</v>
          </cell>
        </row>
        <row r="660">
          <cell r="B660">
            <v>2022</v>
          </cell>
          <cell r="C660">
            <v>6</v>
          </cell>
          <cell r="E660" t="str">
            <v>BAL</v>
          </cell>
          <cell r="I660">
            <v>20</v>
          </cell>
          <cell r="J660">
            <v>24</v>
          </cell>
          <cell r="L660">
            <v>0</v>
          </cell>
        </row>
        <row r="661">
          <cell r="B661">
            <v>2022</v>
          </cell>
          <cell r="C661">
            <v>7</v>
          </cell>
          <cell r="E661" t="str">
            <v>BAL</v>
          </cell>
          <cell r="I661">
            <v>23</v>
          </cell>
          <cell r="J661">
            <v>20</v>
          </cell>
          <cell r="L661">
            <v>0</v>
          </cell>
        </row>
        <row r="662">
          <cell r="B662">
            <v>2022</v>
          </cell>
          <cell r="C662">
            <v>8</v>
          </cell>
          <cell r="E662" t="str">
            <v>BAL</v>
          </cell>
          <cell r="I662">
            <v>27</v>
          </cell>
          <cell r="J662">
            <v>22</v>
          </cell>
          <cell r="L662">
            <v>0</v>
          </cell>
        </row>
        <row r="663">
          <cell r="B663">
            <v>2022</v>
          </cell>
          <cell r="C663">
            <v>9</v>
          </cell>
          <cell r="E663" t="str">
            <v>BAL</v>
          </cell>
          <cell r="I663">
            <v>27</v>
          </cell>
          <cell r="J663">
            <v>13</v>
          </cell>
          <cell r="L663">
            <v>0</v>
          </cell>
        </row>
        <row r="664">
          <cell r="B664">
            <v>2022</v>
          </cell>
          <cell r="C664">
            <v>11</v>
          </cell>
          <cell r="E664" t="str">
            <v>BAL</v>
          </cell>
          <cell r="I664">
            <v>13</v>
          </cell>
          <cell r="J664">
            <v>3</v>
          </cell>
          <cell r="L664">
            <v>0</v>
          </cell>
        </row>
        <row r="665">
          <cell r="B665">
            <v>2022</v>
          </cell>
          <cell r="C665">
            <v>12</v>
          </cell>
          <cell r="E665" t="str">
            <v>BAL</v>
          </cell>
          <cell r="I665">
            <v>27</v>
          </cell>
          <cell r="J665">
            <v>28</v>
          </cell>
          <cell r="L665">
            <v>0</v>
          </cell>
        </row>
        <row r="666">
          <cell r="B666">
            <v>2022</v>
          </cell>
          <cell r="C666">
            <v>13</v>
          </cell>
          <cell r="E666" t="str">
            <v>BAL</v>
          </cell>
          <cell r="I666">
            <v>10</v>
          </cell>
          <cell r="J666">
            <v>9</v>
          </cell>
          <cell r="L666">
            <v>0</v>
          </cell>
        </row>
        <row r="667">
          <cell r="B667">
            <v>2022</v>
          </cell>
          <cell r="C667">
            <v>14</v>
          </cell>
          <cell r="E667" t="str">
            <v>BAL</v>
          </cell>
          <cell r="I667">
            <v>16</v>
          </cell>
          <cell r="J667">
            <v>14</v>
          </cell>
          <cell r="L667">
            <v>0</v>
          </cell>
        </row>
        <row r="668">
          <cell r="B668">
            <v>2022</v>
          </cell>
          <cell r="C668">
            <v>15</v>
          </cell>
          <cell r="E668" t="str">
            <v>BAL</v>
          </cell>
          <cell r="I668">
            <v>3</v>
          </cell>
          <cell r="J668">
            <v>13</v>
          </cell>
          <cell r="L668">
            <v>0</v>
          </cell>
        </row>
        <row r="669">
          <cell r="B669">
            <v>2022</v>
          </cell>
          <cell r="C669">
            <v>16</v>
          </cell>
          <cell r="E669" t="str">
            <v>BAL</v>
          </cell>
          <cell r="I669">
            <v>17</v>
          </cell>
          <cell r="J669">
            <v>9</v>
          </cell>
          <cell r="L669">
            <v>0</v>
          </cell>
        </row>
        <row r="670">
          <cell r="B670">
            <v>2022</v>
          </cell>
          <cell r="C670">
            <v>17</v>
          </cell>
          <cell r="E670" t="str">
            <v>BAL</v>
          </cell>
          <cell r="I670">
            <v>13</v>
          </cell>
          <cell r="J670">
            <v>16</v>
          </cell>
          <cell r="L670">
            <v>0</v>
          </cell>
        </row>
        <row r="671">
          <cell r="B671">
            <v>2022</v>
          </cell>
          <cell r="C671">
            <v>18</v>
          </cell>
          <cell r="E671" t="str">
            <v>BAL</v>
          </cell>
          <cell r="I671">
            <v>16</v>
          </cell>
          <cell r="J671">
            <v>27</v>
          </cell>
          <cell r="L671">
            <v>0</v>
          </cell>
        </row>
        <row r="672">
          <cell r="B672">
            <v>2022</v>
          </cell>
          <cell r="C672">
            <v>1</v>
          </cell>
          <cell r="E672" t="str">
            <v>BAL</v>
          </cell>
          <cell r="I672">
            <v>17</v>
          </cell>
          <cell r="J672">
            <v>24</v>
          </cell>
          <cell r="L672">
            <v>1</v>
          </cell>
        </row>
        <row r="673">
          <cell r="B673">
            <v>2023</v>
          </cell>
          <cell r="C673">
            <v>1</v>
          </cell>
          <cell r="E673" t="str">
            <v>BAL</v>
          </cell>
          <cell r="I673">
            <v>25</v>
          </cell>
          <cell r="J673">
            <v>9</v>
          </cell>
          <cell r="L673">
            <v>0</v>
          </cell>
        </row>
        <row r="674">
          <cell r="B674">
            <v>2023</v>
          </cell>
          <cell r="C674">
            <v>2</v>
          </cell>
          <cell r="E674" t="str">
            <v>BAL</v>
          </cell>
          <cell r="I674">
            <v>27</v>
          </cell>
          <cell r="J674">
            <v>24</v>
          </cell>
          <cell r="L674">
            <v>0</v>
          </cell>
        </row>
        <row r="675">
          <cell r="B675">
            <v>2023</v>
          </cell>
          <cell r="C675">
            <v>3</v>
          </cell>
          <cell r="E675" t="str">
            <v>BAL</v>
          </cell>
          <cell r="I675">
            <v>19</v>
          </cell>
          <cell r="J675">
            <v>22</v>
          </cell>
          <cell r="L675">
            <v>0</v>
          </cell>
        </row>
        <row r="676">
          <cell r="B676">
            <v>2023</v>
          </cell>
          <cell r="C676">
            <v>4</v>
          </cell>
          <cell r="E676" t="str">
            <v>BAL</v>
          </cell>
          <cell r="I676">
            <v>28</v>
          </cell>
          <cell r="J676">
            <v>3</v>
          </cell>
          <cell r="L676">
            <v>0</v>
          </cell>
        </row>
        <row r="677">
          <cell r="B677">
            <v>2023</v>
          </cell>
          <cell r="C677">
            <v>5</v>
          </cell>
          <cell r="E677" t="str">
            <v>BAL</v>
          </cell>
          <cell r="I677">
            <v>10</v>
          </cell>
          <cell r="J677">
            <v>17</v>
          </cell>
          <cell r="L677">
            <v>0</v>
          </cell>
        </row>
        <row r="678">
          <cell r="B678">
            <v>2023</v>
          </cell>
          <cell r="C678">
            <v>6</v>
          </cell>
          <cell r="E678" t="str">
            <v>BAL</v>
          </cell>
          <cell r="I678">
            <v>24</v>
          </cell>
          <cell r="J678">
            <v>16</v>
          </cell>
          <cell r="L678">
            <v>0</v>
          </cell>
        </row>
        <row r="679">
          <cell r="B679">
            <v>2023</v>
          </cell>
          <cell r="C679">
            <v>7</v>
          </cell>
          <cell r="E679" t="str">
            <v>BAL</v>
          </cell>
          <cell r="I679">
            <v>38</v>
          </cell>
          <cell r="J679">
            <v>6</v>
          </cell>
          <cell r="L679">
            <v>0</v>
          </cell>
        </row>
        <row r="680">
          <cell r="B680">
            <v>2023</v>
          </cell>
          <cell r="C680">
            <v>8</v>
          </cell>
          <cell r="E680" t="str">
            <v>BAL</v>
          </cell>
          <cell r="I680">
            <v>31</v>
          </cell>
          <cell r="J680">
            <v>24</v>
          </cell>
          <cell r="L680">
            <v>0</v>
          </cell>
        </row>
        <row r="681">
          <cell r="B681">
            <v>2023</v>
          </cell>
          <cell r="C681">
            <v>9</v>
          </cell>
          <cell r="E681" t="str">
            <v>BAL</v>
          </cell>
          <cell r="I681">
            <v>37</v>
          </cell>
          <cell r="J681">
            <v>3</v>
          </cell>
          <cell r="L681">
            <v>0</v>
          </cell>
        </row>
        <row r="682">
          <cell r="B682">
            <v>2023</v>
          </cell>
          <cell r="C682">
            <v>10</v>
          </cell>
          <cell r="E682" t="str">
            <v>BAL</v>
          </cell>
          <cell r="I682">
            <v>31</v>
          </cell>
          <cell r="J682">
            <v>33</v>
          </cell>
          <cell r="L682">
            <v>0</v>
          </cell>
        </row>
        <row r="683">
          <cell r="B683">
            <v>2023</v>
          </cell>
          <cell r="C683">
            <v>11</v>
          </cell>
          <cell r="E683" t="str">
            <v>BAL</v>
          </cell>
          <cell r="I683">
            <v>34</v>
          </cell>
          <cell r="J683">
            <v>20</v>
          </cell>
          <cell r="L683">
            <v>0</v>
          </cell>
        </row>
        <row r="684">
          <cell r="B684">
            <v>2023</v>
          </cell>
          <cell r="C684">
            <v>12</v>
          </cell>
          <cell r="E684" t="str">
            <v>BAL</v>
          </cell>
          <cell r="I684">
            <v>20</v>
          </cell>
          <cell r="J684">
            <v>10</v>
          </cell>
          <cell r="L684">
            <v>0</v>
          </cell>
        </row>
        <row r="685">
          <cell r="B685">
            <v>2023</v>
          </cell>
          <cell r="C685">
            <v>14</v>
          </cell>
          <cell r="E685" t="str">
            <v>BAL</v>
          </cell>
          <cell r="I685">
            <v>37</v>
          </cell>
          <cell r="J685">
            <v>31</v>
          </cell>
          <cell r="L685">
            <v>0</v>
          </cell>
        </row>
        <row r="686">
          <cell r="B686">
            <v>2023</v>
          </cell>
          <cell r="C686">
            <v>15</v>
          </cell>
          <cell r="E686" t="str">
            <v>BAL</v>
          </cell>
          <cell r="I686">
            <v>23</v>
          </cell>
          <cell r="J686">
            <v>7</v>
          </cell>
          <cell r="L686">
            <v>0</v>
          </cell>
        </row>
        <row r="687">
          <cell r="B687">
            <v>2023</v>
          </cell>
          <cell r="C687">
            <v>16</v>
          </cell>
          <cell r="E687" t="str">
            <v>BAL</v>
          </cell>
          <cell r="I687">
            <v>33</v>
          </cell>
          <cell r="J687">
            <v>19</v>
          </cell>
          <cell r="L687">
            <v>0</v>
          </cell>
        </row>
        <row r="688">
          <cell r="B688">
            <v>2023</v>
          </cell>
          <cell r="C688">
            <v>17</v>
          </cell>
          <cell r="E688" t="str">
            <v>BAL</v>
          </cell>
          <cell r="I688">
            <v>56</v>
          </cell>
          <cell r="J688">
            <v>19</v>
          </cell>
          <cell r="L688">
            <v>0</v>
          </cell>
        </row>
        <row r="689">
          <cell r="B689">
            <v>2023</v>
          </cell>
          <cell r="C689">
            <v>18</v>
          </cell>
          <cell r="E689" t="str">
            <v>BAL</v>
          </cell>
          <cell r="I689">
            <v>10</v>
          </cell>
          <cell r="J689">
            <v>17</v>
          </cell>
          <cell r="L689">
            <v>0</v>
          </cell>
        </row>
        <row r="690">
          <cell r="B690">
            <v>2023</v>
          </cell>
          <cell r="C690">
            <v>2</v>
          </cell>
          <cell r="E690" t="str">
            <v>BAL</v>
          </cell>
          <cell r="I690">
            <v>34</v>
          </cell>
          <cell r="J690">
            <v>10</v>
          </cell>
          <cell r="L690">
            <v>1</v>
          </cell>
        </row>
        <row r="691">
          <cell r="B691">
            <v>2023</v>
          </cell>
          <cell r="C691">
            <v>3</v>
          </cell>
          <cell r="E691" t="str">
            <v>BAL</v>
          </cell>
          <cell r="I691">
            <v>10</v>
          </cell>
          <cell r="J691">
            <v>17</v>
          </cell>
          <cell r="L691">
            <v>1</v>
          </cell>
        </row>
        <row r="692">
          <cell r="B692">
            <v>2024</v>
          </cell>
          <cell r="C692">
            <v>1</v>
          </cell>
          <cell r="E692" t="str">
            <v>BAL</v>
          </cell>
          <cell r="I692">
            <v>20</v>
          </cell>
          <cell r="J692">
            <v>27</v>
          </cell>
          <cell r="L692">
            <v>0</v>
          </cell>
        </row>
        <row r="693">
          <cell r="B693">
            <v>2024</v>
          </cell>
          <cell r="C693">
            <v>2</v>
          </cell>
          <cell r="E693" t="str">
            <v>BAL</v>
          </cell>
          <cell r="I693">
            <v>23</v>
          </cell>
          <cell r="J693">
            <v>26</v>
          </cell>
          <cell r="L693">
            <v>0</v>
          </cell>
        </row>
        <row r="694">
          <cell r="B694">
            <v>2024</v>
          </cell>
          <cell r="C694">
            <v>3</v>
          </cell>
          <cell r="E694" t="str">
            <v>BAL</v>
          </cell>
          <cell r="I694">
            <v>28</v>
          </cell>
          <cell r="J694">
            <v>25</v>
          </cell>
          <cell r="L694">
            <v>0</v>
          </cell>
        </row>
        <row r="695">
          <cell r="B695">
            <v>2024</v>
          </cell>
          <cell r="C695">
            <v>4</v>
          </cell>
          <cell r="E695" t="str">
            <v>BAL</v>
          </cell>
          <cell r="I695">
            <v>35</v>
          </cell>
          <cell r="J695">
            <v>10</v>
          </cell>
          <cell r="L695">
            <v>0</v>
          </cell>
        </row>
        <row r="696">
          <cell r="B696">
            <v>2024</v>
          </cell>
          <cell r="C696">
            <v>5</v>
          </cell>
          <cell r="E696" t="str">
            <v>BAL</v>
          </cell>
          <cell r="I696">
            <v>41</v>
          </cell>
          <cell r="J696">
            <v>38</v>
          </cell>
          <cell r="L696">
            <v>0</v>
          </cell>
        </row>
        <row r="697">
          <cell r="B697">
            <v>2024</v>
          </cell>
          <cell r="C697">
            <v>6</v>
          </cell>
          <cell r="E697" t="str">
            <v>BAL</v>
          </cell>
          <cell r="I697">
            <v>30</v>
          </cell>
          <cell r="J697">
            <v>23</v>
          </cell>
          <cell r="L697">
            <v>0</v>
          </cell>
        </row>
        <row r="698">
          <cell r="B698">
            <v>2024</v>
          </cell>
          <cell r="C698">
            <v>7</v>
          </cell>
          <cell r="E698" t="str">
            <v>BAL</v>
          </cell>
          <cell r="I698">
            <v>41</v>
          </cell>
          <cell r="J698">
            <v>31</v>
          </cell>
          <cell r="L698">
            <v>0</v>
          </cell>
        </row>
        <row r="699">
          <cell r="B699">
            <v>2024</v>
          </cell>
          <cell r="C699">
            <v>8</v>
          </cell>
          <cell r="E699" t="str">
            <v>BAL</v>
          </cell>
          <cell r="I699">
            <v>24</v>
          </cell>
          <cell r="J699">
            <v>29</v>
          </cell>
          <cell r="L699">
            <v>0</v>
          </cell>
        </row>
        <row r="700">
          <cell r="B700">
            <v>2024</v>
          </cell>
          <cell r="C700">
            <v>9</v>
          </cell>
          <cell r="E700" t="str">
            <v>BAL</v>
          </cell>
          <cell r="I700">
            <v>41</v>
          </cell>
          <cell r="J700">
            <v>10</v>
          </cell>
          <cell r="L700">
            <v>0</v>
          </cell>
        </row>
        <row r="701">
          <cell r="B701">
            <v>2024</v>
          </cell>
          <cell r="C701">
            <v>10</v>
          </cell>
          <cell r="E701" t="str">
            <v>BAL</v>
          </cell>
          <cell r="I701">
            <v>35</v>
          </cell>
          <cell r="J701">
            <v>34</v>
          </cell>
          <cell r="L701">
            <v>0</v>
          </cell>
        </row>
        <row r="702">
          <cell r="B702">
            <v>2024</v>
          </cell>
          <cell r="C702">
            <v>11</v>
          </cell>
          <cell r="E702" t="str">
            <v>BAL</v>
          </cell>
          <cell r="I702">
            <v>16</v>
          </cell>
          <cell r="J702">
            <v>18</v>
          </cell>
          <cell r="L702">
            <v>0</v>
          </cell>
        </row>
        <row r="703">
          <cell r="B703">
            <v>2024</v>
          </cell>
          <cell r="C703">
            <v>12</v>
          </cell>
          <cell r="E703" t="str">
            <v>BAL</v>
          </cell>
          <cell r="I703">
            <v>30</v>
          </cell>
          <cell r="J703">
            <v>23</v>
          </cell>
          <cell r="L703">
            <v>0</v>
          </cell>
        </row>
        <row r="704">
          <cell r="B704">
            <v>2024</v>
          </cell>
          <cell r="C704">
            <v>13</v>
          </cell>
          <cell r="E704" t="str">
            <v>BAL</v>
          </cell>
          <cell r="I704">
            <v>19</v>
          </cell>
          <cell r="J704">
            <v>24</v>
          </cell>
          <cell r="L704">
            <v>0</v>
          </cell>
        </row>
        <row r="705">
          <cell r="B705">
            <v>2024</v>
          </cell>
          <cell r="C705">
            <v>15</v>
          </cell>
          <cell r="E705" t="str">
            <v>BAL</v>
          </cell>
          <cell r="I705">
            <v>35</v>
          </cell>
          <cell r="J705">
            <v>14</v>
          </cell>
          <cell r="L705">
            <v>0</v>
          </cell>
        </row>
        <row r="706">
          <cell r="B706">
            <v>2024</v>
          </cell>
          <cell r="C706">
            <v>16</v>
          </cell>
          <cell r="E706" t="str">
            <v>BAL</v>
          </cell>
          <cell r="I706">
            <v>34</v>
          </cell>
          <cell r="J706">
            <v>17</v>
          </cell>
          <cell r="L706">
            <v>0</v>
          </cell>
        </row>
        <row r="707">
          <cell r="B707">
            <v>2024</v>
          </cell>
          <cell r="C707">
            <v>17</v>
          </cell>
          <cell r="E707" t="str">
            <v>BAL</v>
          </cell>
          <cell r="I707">
            <v>31</v>
          </cell>
          <cell r="J707">
            <v>2</v>
          </cell>
          <cell r="L707">
            <v>0</v>
          </cell>
        </row>
        <row r="708">
          <cell r="B708">
            <v>2024</v>
          </cell>
          <cell r="C708">
            <v>18</v>
          </cell>
          <cell r="E708" t="str">
            <v>BAL</v>
          </cell>
          <cell r="I708">
            <v>35</v>
          </cell>
          <cell r="J708">
            <v>10</v>
          </cell>
          <cell r="L708">
            <v>0</v>
          </cell>
        </row>
        <row r="709">
          <cell r="B709">
            <v>2024</v>
          </cell>
          <cell r="C709">
            <v>1</v>
          </cell>
          <cell r="E709" t="str">
            <v>BAL</v>
          </cell>
          <cell r="I709">
            <v>28</v>
          </cell>
          <cell r="J709">
            <v>14</v>
          </cell>
          <cell r="L709">
            <v>1</v>
          </cell>
        </row>
        <row r="710">
          <cell r="B710">
            <v>2024</v>
          </cell>
          <cell r="C710">
            <v>2</v>
          </cell>
          <cell r="E710" t="str">
            <v>BAL</v>
          </cell>
          <cell r="I710">
            <v>25</v>
          </cell>
          <cell r="J710">
            <v>27</v>
          </cell>
          <cell r="L710">
            <v>1</v>
          </cell>
        </row>
        <row r="711">
          <cell r="B711">
            <v>2025</v>
          </cell>
          <cell r="C711">
            <v>1</v>
          </cell>
          <cell r="E711" t="str">
            <v>BAL</v>
          </cell>
          <cell r="I711">
            <v>40</v>
          </cell>
          <cell r="J711">
            <v>41</v>
          </cell>
          <cell r="L711">
            <v>0</v>
          </cell>
        </row>
        <row r="712">
          <cell r="B712">
            <v>2025</v>
          </cell>
          <cell r="C712">
            <v>2</v>
          </cell>
          <cell r="E712" t="str">
            <v>BAL</v>
          </cell>
          <cell r="I712">
            <v>41</v>
          </cell>
          <cell r="J712">
            <v>17</v>
          </cell>
          <cell r="L712">
            <v>0</v>
          </cell>
        </row>
        <row r="713">
          <cell r="B713">
            <v>2025</v>
          </cell>
          <cell r="C713">
            <v>3</v>
          </cell>
          <cell r="E713" t="str">
            <v>BAL</v>
          </cell>
          <cell r="I713">
            <v>30</v>
          </cell>
          <cell r="J713">
            <v>38</v>
          </cell>
          <cell r="L713">
            <v>0</v>
          </cell>
        </row>
        <row r="714">
          <cell r="B714">
            <v>2025</v>
          </cell>
          <cell r="C714">
            <v>4</v>
          </cell>
          <cell r="E714" t="str">
            <v>BAL</v>
          </cell>
          <cell r="I714">
            <v>20</v>
          </cell>
          <cell r="J714">
            <v>37</v>
          </cell>
          <cell r="L714">
            <v>0</v>
          </cell>
        </row>
        <row r="715">
          <cell r="B715">
            <v>2025</v>
          </cell>
          <cell r="C715">
            <v>5</v>
          </cell>
          <cell r="E715" t="str">
            <v>BAL</v>
          </cell>
          <cell r="I715">
            <v>10</v>
          </cell>
          <cell r="J715">
            <v>44</v>
          </cell>
          <cell r="L715">
            <v>0</v>
          </cell>
        </row>
        <row r="716">
          <cell r="B716">
            <v>2025</v>
          </cell>
          <cell r="C716">
            <v>6</v>
          </cell>
          <cell r="E716" t="str">
            <v>BAL</v>
          </cell>
          <cell r="I716">
            <v>3</v>
          </cell>
          <cell r="J716">
            <v>17</v>
          </cell>
          <cell r="L716">
            <v>0</v>
          </cell>
        </row>
        <row r="717">
          <cell r="B717">
            <v>2025</v>
          </cell>
          <cell r="C717">
            <v>8</v>
          </cell>
          <cell r="E717" t="str">
            <v>BAL</v>
          </cell>
          <cell r="I717">
            <v>30</v>
          </cell>
          <cell r="J717">
            <v>16</v>
          </cell>
          <cell r="L717">
            <v>0</v>
          </cell>
        </row>
        <row r="718">
          <cell r="B718">
            <v>2025</v>
          </cell>
          <cell r="C718">
            <v>9</v>
          </cell>
          <cell r="E718" t="str">
            <v>BAL</v>
          </cell>
          <cell r="I718">
            <v>28</v>
          </cell>
          <cell r="J718">
            <v>6</v>
          </cell>
          <cell r="L718">
            <v>0</v>
          </cell>
        </row>
        <row r="719">
          <cell r="B719">
            <v>2025</v>
          </cell>
          <cell r="C719">
            <v>10</v>
          </cell>
          <cell r="E719" t="str">
            <v>BAL</v>
          </cell>
          <cell r="I719">
            <v>27</v>
          </cell>
          <cell r="J719">
            <v>19</v>
          </cell>
          <cell r="L719">
            <v>0</v>
          </cell>
        </row>
        <row r="720">
          <cell r="B720">
            <v>2025</v>
          </cell>
          <cell r="C720">
            <v>11</v>
          </cell>
          <cell r="E720" t="str">
            <v>BAL</v>
          </cell>
          <cell r="I720">
            <v>23</v>
          </cell>
          <cell r="J720">
            <v>16</v>
          </cell>
          <cell r="L720">
            <v>0</v>
          </cell>
        </row>
        <row r="721">
          <cell r="B721">
            <v>2025</v>
          </cell>
          <cell r="C721">
            <v>12</v>
          </cell>
          <cell r="E721" t="str">
            <v>BAL</v>
          </cell>
          <cell r="I721">
            <v>23</v>
          </cell>
          <cell r="J721">
            <v>10</v>
          </cell>
          <cell r="L721">
            <v>0</v>
          </cell>
        </row>
        <row r="722">
          <cell r="B722">
            <v>2025</v>
          </cell>
          <cell r="C722">
            <v>13</v>
          </cell>
          <cell r="E722" t="str">
            <v>BAL</v>
          </cell>
          <cell r="I722">
            <v>14</v>
          </cell>
          <cell r="J722">
            <v>32</v>
          </cell>
          <cell r="L722">
            <v>0</v>
          </cell>
        </row>
        <row r="723">
          <cell r="B723">
            <v>2025</v>
          </cell>
          <cell r="C723">
            <v>14</v>
          </cell>
          <cell r="E723" t="str">
            <v>BAL</v>
          </cell>
          <cell r="I723">
            <v>22</v>
          </cell>
          <cell r="J723">
            <v>27</v>
          </cell>
          <cell r="L723">
            <v>0</v>
          </cell>
        </row>
        <row r="724">
          <cell r="B724">
            <v>2025</v>
          </cell>
          <cell r="C724">
            <v>15</v>
          </cell>
          <cell r="E724" t="str">
            <v>BAL</v>
          </cell>
          <cell r="I724">
            <v>24</v>
          </cell>
          <cell r="J724">
            <v>0</v>
          </cell>
          <cell r="L724">
            <v>0</v>
          </cell>
        </row>
        <row r="725">
          <cell r="B725">
            <v>2025</v>
          </cell>
          <cell r="C725">
            <v>16</v>
          </cell>
          <cell r="E725" t="str">
            <v>BAL</v>
          </cell>
          <cell r="I725">
            <v>24</v>
          </cell>
          <cell r="J725">
            <v>28</v>
          </cell>
          <cell r="L725">
            <v>0</v>
          </cell>
        </row>
        <row r="726">
          <cell r="B726">
            <v>2025</v>
          </cell>
          <cell r="C726">
            <v>17</v>
          </cell>
          <cell r="E726" t="str">
            <v>BAL</v>
          </cell>
          <cell r="I726">
            <v>41</v>
          </cell>
          <cell r="J726">
            <v>24</v>
          </cell>
          <cell r="L726">
            <v>0</v>
          </cell>
        </row>
        <row r="727">
          <cell r="B727">
            <v>2025</v>
          </cell>
          <cell r="C727">
            <v>18</v>
          </cell>
          <cell r="E727" t="str">
            <v>BAL</v>
          </cell>
          <cell r="I727">
            <v>24</v>
          </cell>
          <cell r="J727">
            <v>26</v>
          </cell>
          <cell r="L727">
            <v>0</v>
          </cell>
        </row>
        <row r="728">
          <cell r="B728">
            <v>2026</v>
          </cell>
          <cell r="C728">
            <v>1</v>
          </cell>
          <cell r="E728" t="str">
            <v>BAL</v>
          </cell>
          <cell r="I728">
            <v>41</v>
          </cell>
          <cell r="J728">
            <v>23</v>
          </cell>
          <cell r="L728">
            <v>0</v>
          </cell>
        </row>
        <row r="729">
          <cell r="B729">
            <v>2026</v>
          </cell>
          <cell r="C729">
            <v>2</v>
          </cell>
          <cell r="E729" t="str">
            <v>BAL</v>
          </cell>
          <cell r="I729">
            <v>17</v>
          </cell>
          <cell r="J729">
            <v>24</v>
          </cell>
          <cell r="L729">
            <v>0</v>
          </cell>
        </row>
        <row r="730">
          <cell r="B730">
            <v>2026</v>
          </cell>
          <cell r="C730">
            <v>3</v>
          </cell>
          <cell r="E730" t="str">
            <v>BAL</v>
          </cell>
          <cell r="I730">
            <v>34</v>
          </cell>
          <cell r="J730">
            <v>31</v>
          </cell>
          <cell r="L730">
            <v>0</v>
          </cell>
        </row>
        <row r="731">
          <cell r="B731">
            <v>2026</v>
          </cell>
          <cell r="C731">
            <v>4</v>
          </cell>
          <cell r="E731" t="str">
            <v>BAL</v>
          </cell>
          <cell r="I731">
            <v>24</v>
          </cell>
          <cell r="J731">
            <v>18</v>
          </cell>
          <cell r="L731">
            <v>0</v>
          </cell>
        </row>
        <row r="732">
          <cell r="B732">
            <v>2026</v>
          </cell>
          <cell r="C732">
            <v>5</v>
          </cell>
          <cell r="E732" t="str">
            <v>BAL</v>
          </cell>
          <cell r="I732">
            <v>30</v>
          </cell>
          <cell r="J732">
            <v>23</v>
          </cell>
          <cell r="L732">
            <v>0</v>
          </cell>
        </row>
        <row r="733">
          <cell r="B733">
            <v>2026</v>
          </cell>
          <cell r="C733">
            <v>6</v>
          </cell>
          <cell r="E733" t="str">
            <v>BAL</v>
          </cell>
          <cell r="I733">
            <v>10</v>
          </cell>
          <cell r="J733">
            <v>13</v>
          </cell>
          <cell r="L733">
            <v>0</v>
          </cell>
        </row>
        <row r="734">
          <cell r="B734">
            <v>2026</v>
          </cell>
          <cell r="C734">
            <v>7</v>
          </cell>
          <cell r="E734" t="str">
            <v>BAL</v>
          </cell>
          <cell r="L734">
            <v>0</v>
          </cell>
        </row>
        <row r="735">
          <cell r="B735">
            <v>2018</v>
          </cell>
          <cell r="C735">
            <v>1</v>
          </cell>
          <cell r="E735" t="str">
            <v>PIT</v>
          </cell>
          <cell r="I735">
            <v>21</v>
          </cell>
          <cell r="J735">
            <v>21</v>
          </cell>
          <cell r="L735">
            <v>0</v>
          </cell>
        </row>
        <row r="736">
          <cell r="B736">
            <v>2018</v>
          </cell>
          <cell r="C736">
            <v>2</v>
          </cell>
          <cell r="E736" t="str">
            <v>PIT</v>
          </cell>
          <cell r="I736">
            <v>37</v>
          </cell>
          <cell r="J736">
            <v>42</v>
          </cell>
          <cell r="L736">
            <v>0</v>
          </cell>
        </row>
        <row r="737">
          <cell r="B737">
            <v>2018</v>
          </cell>
          <cell r="C737">
            <v>3</v>
          </cell>
          <cell r="E737" t="str">
            <v>PIT</v>
          </cell>
          <cell r="I737">
            <v>30</v>
          </cell>
          <cell r="J737">
            <v>27</v>
          </cell>
          <cell r="L737">
            <v>0</v>
          </cell>
        </row>
        <row r="738">
          <cell r="B738">
            <v>2018</v>
          </cell>
          <cell r="C738">
            <v>4</v>
          </cell>
          <cell r="E738" t="str">
            <v>PIT</v>
          </cell>
          <cell r="I738">
            <v>14</v>
          </cell>
          <cell r="J738">
            <v>26</v>
          </cell>
          <cell r="L738">
            <v>0</v>
          </cell>
        </row>
        <row r="739">
          <cell r="B739">
            <v>2018</v>
          </cell>
          <cell r="C739">
            <v>5</v>
          </cell>
          <cell r="E739" t="str">
            <v>PIT</v>
          </cell>
          <cell r="I739">
            <v>41</v>
          </cell>
          <cell r="J739">
            <v>17</v>
          </cell>
          <cell r="L739">
            <v>0</v>
          </cell>
        </row>
        <row r="740">
          <cell r="B740">
            <v>2018</v>
          </cell>
          <cell r="C740">
            <v>6</v>
          </cell>
          <cell r="E740" t="str">
            <v>PIT</v>
          </cell>
          <cell r="I740">
            <v>28</v>
          </cell>
          <cell r="J740">
            <v>21</v>
          </cell>
          <cell r="L740">
            <v>0</v>
          </cell>
        </row>
        <row r="741">
          <cell r="B741">
            <v>2018</v>
          </cell>
          <cell r="C741">
            <v>8</v>
          </cell>
          <cell r="E741" t="str">
            <v>PIT</v>
          </cell>
          <cell r="I741">
            <v>33</v>
          </cell>
          <cell r="J741">
            <v>18</v>
          </cell>
          <cell r="L741">
            <v>0</v>
          </cell>
        </row>
        <row r="742">
          <cell r="B742">
            <v>2018</v>
          </cell>
          <cell r="C742">
            <v>9</v>
          </cell>
          <cell r="E742" t="str">
            <v>PIT</v>
          </cell>
          <cell r="I742">
            <v>23</v>
          </cell>
          <cell r="J742">
            <v>16</v>
          </cell>
          <cell r="L742">
            <v>0</v>
          </cell>
        </row>
        <row r="743">
          <cell r="B743">
            <v>2018</v>
          </cell>
          <cell r="C743">
            <v>10</v>
          </cell>
          <cell r="E743" t="str">
            <v>PIT</v>
          </cell>
          <cell r="I743">
            <v>52</v>
          </cell>
          <cell r="J743">
            <v>21</v>
          </cell>
          <cell r="L743">
            <v>0</v>
          </cell>
        </row>
        <row r="744">
          <cell r="B744">
            <v>2018</v>
          </cell>
          <cell r="C744">
            <v>11</v>
          </cell>
          <cell r="E744" t="str">
            <v>PIT</v>
          </cell>
          <cell r="I744">
            <v>20</v>
          </cell>
          <cell r="J744">
            <v>16</v>
          </cell>
          <cell r="L744">
            <v>0</v>
          </cell>
        </row>
        <row r="745">
          <cell r="B745">
            <v>2018</v>
          </cell>
          <cell r="C745">
            <v>12</v>
          </cell>
          <cell r="E745" t="str">
            <v>PIT</v>
          </cell>
          <cell r="I745">
            <v>17</v>
          </cell>
          <cell r="J745">
            <v>24</v>
          </cell>
          <cell r="L745">
            <v>0</v>
          </cell>
        </row>
        <row r="746">
          <cell r="B746">
            <v>2018</v>
          </cell>
          <cell r="C746">
            <v>13</v>
          </cell>
          <cell r="E746" t="str">
            <v>PIT</v>
          </cell>
          <cell r="I746">
            <v>30</v>
          </cell>
          <cell r="J746">
            <v>33</v>
          </cell>
          <cell r="L746">
            <v>0</v>
          </cell>
        </row>
        <row r="747">
          <cell r="B747">
            <v>2018</v>
          </cell>
          <cell r="C747">
            <v>14</v>
          </cell>
          <cell r="E747" t="str">
            <v>PIT</v>
          </cell>
          <cell r="I747">
            <v>21</v>
          </cell>
          <cell r="J747">
            <v>24</v>
          </cell>
          <cell r="L747">
            <v>0</v>
          </cell>
        </row>
        <row r="748">
          <cell r="B748">
            <v>2018</v>
          </cell>
          <cell r="C748">
            <v>15</v>
          </cell>
          <cell r="E748" t="str">
            <v>PIT</v>
          </cell>
          <cell r="I748">
            <v>17</v>
          </cell>
          <cell r="J748">
            <v>10</v>
          </cell>
          <cell r="L748">
            <v>0</v>
          </cell>
        </row>
        <row r="749">
          <cell r="B749">
            <v>2018</v>
          </cell>
          <cell r="C749">
            <v>16</v>
          </cell>
          <cell r="E749" t="str">
            <v>PIT</v>
          </cell>
          <cell r="I749">
            <v>28</v>
          </cell>
          <cell r="J749">
            <v>31</v>
          </cell>
          <cell r="L749">
            <v>0</v>
          </cell>
        </row>
        <row r="750">
          <cell r="B750">
            <v>2018</v>
          </cell>
          <cell r="C750">
            <v>17</v>
          </cell>
          <cell r="E750" t="str">
            <v>PIT</v>
          </cell>
          <cell r="I750">
            <v>16</v>
          </cell>
          <cell r="J750">
            <v>13</v>
          </cell>
          <cell r="L750">
            <v>0</v>
          </cell>
        </row>
        <row r="751">
          <cell r="B751">
            <v>2019</v>
          </cell>
          <cell r="C751">
            <v>1</v>
          </cell>
          <cell r="E751" t="str">
            <v>PIT</v>
          </cell>
          <cell r="I751">
            <v>3</v>
          </cell>
          <cell r="J751">
            <v>33</v>
          </cell>
          <cell r="L751">
            <v>0</v>
          </cell>
        </row>
        <row r="752">
          <cell r="B752">
            <v>2019</v>
          </cell>
          <cell r="C752">
            <v>2</v>
          </cell>
          <cell r="E752" t="str">
            <v>PIT</v>
          </cell>
          <cell r="I752">
            <v>26</v>
          </cell>
          <cell r="J752">
            <v>28</v>
          </cell>
          <cell r="L752">
            <v>0</v>
          </cell>
        </row>
        <row r="753">
          <cell r="B753">
            <v>2019</v>
          </cell>
          <cell r="C753">
            <v>3</v>
          </cell>
          <cell r="E753" t="str">
            <v>PIT</v>
          </cell>
          <cell r="I753">
            <v>20</v>
          </cell>
          <cell r="J753">
            <v>24</v>
          </cell>
          <cell r="L753">
            <v>0</v>
          </cell>
        </row>
        <row r="754">
          <cell r="B754">
            <v>2019</v>
          </cell>
          <cell r="C754">
            <v>4</v>
          </cell>
          <cell r="E754" t="str">
            <v>PIT</v>
          </cell>
          <cell r="I754">
            <v>27</v>
          </cell>
          <cell r="J754">
            <v>3</v>
          </cell>
          <cell r="L754">
            <v>0</v>
          </cell>
        </row>
        <row r="755">
          <cell r="B755">
            <v>2019</v>
          </cell>
          <cell r="C755">
            <v>5</v>
          </cell>
          <cell r="E755" t="str">
            <v>PIT</v>
          </cell>
          <cell r="I755">
            <v>23</v>
          </cell>
          <cell r="J755">
            <v>26</v>
          </cell>
          <cell r="L755">
            <v>0</v>
          </cell>
        </row>
        <row r="756">
          <cell r="B756">
            <v>2019</v>
          </cell>
          <cell r="C756">
            <v>6</v>
          </cell>
          <cell r="E756" t="str">
            <v>PIT</v>
          </cell>
          <cell r="I756">
            <v>24</v>
          </cell>
          <cell r="J756">
            <v>17</v>
          </cell>
          <cell r="L756">
            <v>0</v>
          </cell>
        </row>
        <row r="757">
          <cell r="B757">
            <v>2019</v>
          </cell>
          <cell r="C757">
            <v>8</v>
          </cell>
          <cell r="E757" t="str">
            <v>PIT</v>
          </cell>
          <cell r="I757">
            <v>27</v>
          </cell>
          <cell r="J757">
            <v>14</v>
          </cell>
          <cell r="L757">
            <v>0</v>
          </cell>
        </row>
        <row r="758">
          <cell r="B758">
            <v>2019</v>
          </cell>
          <cell r="C758">
            <v>9</v>
          </cell>
          <cell r="E758" t="str">
            <v>PIT</v>
          </cell>
          <cell r="I758">
            <v>26</v>
          </cell>
          <cell r="J758">
            <v>24</v>
          </cell>
          <cell r="L758">
            <v>0</v>
          </cell>
        </row>
        <row r="759">
          <cell r="B759">
            <v>2019</v>
          </cell>
          <cell r="C759">
            <v>10</v>
          </cell>
          <cell r="E759" t="str">
            <v>PIT</v>
          </cell>
          <cell r="I759">
            <v>17</v>
          </cell>
          <cell r="J759">
            <v>12</v>
          </cell>
          <cell r="L759">
            <v>0</v>
          </cell>
        </row>
        <row r="760">
          <cell r="B760">
            <v>2019</v>
          </cell>
          <cell r="C760">
            <v>11</v>
          </cell>
          <cell r="E760" t="str">
            <v>PIT</v>
          </cell>
          <cell r="I760">
            <v>7</v>
          </cell>
          <cell r="J760">
            <v>21</v>
          </cell>
          <cell r="L760">
            <v>0</v>
          </cell>
        </row>
        <row r="761">
          <cell r="B761">
            <v>2019</v>
          </cell>
          <cell r="C761">
            <v>12</v>
          </cell>
          <cell r="E761" t="str">
            <v>PIT</v>
          </cell>
          <cell r="I761">
            <v>16</v>
          </cell>
          <cell r="J761">
            <v>10</v>
          </cell>
          <cell r="L761">
            <v>0</v>
          </cell>
        </row>
        <row r="762">
          <cell r="B762">
            <v>2019</v>
          </cell>
          <cell r="C762">
            <v>13</v>
          </cell>
          <cell r="E762" t="str">
            <v>PIT</v>
          </cell>
          <cell r="I762">
            <v>20</v>
          </cell>
          <cell r="J762">
            <v>13</v>
          </cell>
          <cell r="L762">
            <v>0</v>
          </cell>
        </row>
        <row r="763">
          <cell r="B763">
            <v>2019</v>
          </cell>
          <cell r="C763">
            <v>14</v>
          </cell>
          <cell r="E763" t="str">
            <v>PIT</v>
          </cell>
          <cell r="I763">
            <v>23</v>
          </cell>
          <cell r="J763">
            <v>17</v>
          </cell>
          <cell r="L763">
            <v>0</v>
          </cell>
        </row>
        <row r="764">
          <cell r="B764">
            <v>2019</v>
          </cell>
          <cell r="C764">
            <v>15</v>
          </cell>
          <cell r="E764" t="str">
            <v>PIT</v>
          </cell>
          <cell r="I764">
            <v>10</v>
          </cell>
          <cell r="J764">
            <v>17</v>
          </cell>
          <cell r="L764">
            <v>0</v>
          </cell>
        </row>
        <row r="765">
          <cell r="B765">
            <v>2019</v>
          </cell>
          <cell r="C765">
            <v>16</v>
          </cell>
          <cell r="E765" t="str">
            <v>PIT</v>
          </cell>
          <cell r="I765">
            <v>10</v>
          </cell>
          <cell r="J765">
            <v>16</v>
          </cell>
          <cell r="L765">
            <v>0</v>
          </cell>
        </row>
        <row r="766">
          <cell r="B766">
            <v>2019</v>
          </cell>
          <cell r="C766">
            <v>17</v>
          </cell>
          <cell r="E766" t="str">
            <v>PIT</v>
          </cell>
          <cell r="I766">
            <v>10</v>
          </cell>
          <cell r="J766">
            <v>28</v>
          </cell>
          <cell r="L766">
            <v>0</v>
          </cell>
        </row>
        <row r="767">
          <cell r="B767">
            <v>2020</v>
          </cell>
          <cell r="C767">
            <v>1</v>
          </cell>
          <cell r="E767" t="str">
            <v>PIT</v>
          </cell>
          <cell r="I767">
            <v>26</v>
          </cell>
          <cell r="J767">
            <v>16</v>
          </cell>
          <cell r="L767">
            <v>0</v>
          </cell>
        </row>
        <row r="768">
          <cell r="B768">
            <v>2020</v>
          </cell>
          <cell r="C768">
            <v>2</v>
          </cell>
          <cell r="E768" t="str">
            <v>PIT</v>
          </cell>
          <cell r="I768">
            <v>26</v>
          </cell>
          <cell r="J768">
            <v>21</v>
          </cell>
          <cell r="L768">
            <v>0</v>
          </cell>
        </row>
        <row r="769">
          <cell r="B769">
            <v>2020</v>
          </cell>
          <cell r="C769">
            <v>3</v>
          </cell>
          <cell r="E769" t="str">
            <v>PIT</v>
          </cell>
          <cell r="I769">
            <v>28</v>
          </cell>
          <cell r="J769">
            <v>21</v>
          </cell>
          <cell r="L769">
            <v>0</v>
          </cell>
        </row>
        <row r="770">
          <cell r="B770">
            <v>2020</v>
          </cell>
          <cell r="C770">
            <v>5</v>
          </cell>
          <cell r="E770" t="str">
            <v>PIT</v>
          </cell>
          <cell r="I770">
            <v>38</v>
          </cell>
          <cell r="J770">
            <v>29</v>
          </cell>
          <cell r="L770">
            <v>0</v>
          </cell>
        </row>
        <row r="771">
          <cell r="B771">
            <v>2020</v>
          </cell>
          <cell r="C771">
            <v>6</v>
          </cell>
          <cell r="E771" t="str">
            <v>PIT</v>
          </cell>
          <cell r="I771">
            <v>38</v>
          </cell>
          <cell r="J771">
            <v>7</v>
          </cell>
          <cell r="L771">
            <v>0</v>
          </cell>
        </row>
        <row r="772">
          <cell r="B772">
            <v>2020</v>
          </cell>
          <cell r="C772">
            <v>7</v>
          </cell>
          <cell r="E772" t="str">
            <v>PIT</v>
          </cell>
          <cell r="I772">
            <v>27</v>
          </cell>
          <cell r="J772">
            <v>24</v>
          </cell>
          <cell r="L772">
            <v>0</v>
          </cell>
        </row>
        <row r="773">
          <cell r="B773">
            <v>2020</v>
          </cell>
          <cell r="C773">
            <v>8</v>
          </cell>
          <cell r="E773" t="str">
            <v>PIT</v>
          </cell>
          <cell r="I773">
            <v>28</v>
          </cell>
          <cell r="J773">
            <v>24</v>
          </cell>
          <cell r="L773">
            <v>0</v>
          </cell>
        </row>
        <row r="774">
          <cell r="B774">
            <v>2020</v>
          </cell>
          <cell r="C774">
            <v>9</v>
          </cell>
          <cell r="E774" t="str">
            <v>PIT</v>
          </cell>
          <cell r="I774">
            <v>24</v>
          </cell>
          <cell r="J774">
            <v>19</v>
          </cell>
          <cell r="L774">
            <v>0</v>
          </cell>
        </row>
        <row r="775">
          <cell r="B775">
            <v>2020</v>
          </cell>
          <cell r="C775">
            <v>10</v>
          </cell>
          <cell r="E775" t="str">
            <v>PIT</v>
          </cell>
          <cell r="I775">
            <v>36</v>
          </cell>
          <cell r="J775">
            <v>10</v>
          </cell>
          <cell r="L775">
            <v>0</v>
          </cell>
        </row>
        <row r="776">
          <cell r="B776">
            <v>2020</v>
          </cell>
          <cell r="C776">
            <v>11</v>
          </cell>
          <cell r="E776" t="str">
            <v>PIT</v>
          </cell>
          <cell r="I776">
            <v>27</v>
          </cell>
          <cell r="J776">
            <v>3</v>
          </cell>
          <cell r="L776">
            <v>0</v>
          </cell>
        </row>
        <row r="777">
          <cell r="B777">
            <v>2020</v>
          </cell>
          <cell r="C777">
            <v>12</v>
          </cell>
          <cell r="E777" t="str">
            <v>PIT</v>
          </cell>
          <cell r="I777">
            <v>19</v>
          </cell>
          <cell r="J777">
            <v>14</v>
          </cell>
          <cell r="L777">
            <v>0</v>
          </cell>
        </row>
        <row r="778">
          <cell r="B778">
            <v>2020</v>
          </cell>
          <cell r="C778">
            <v>13</v>
          </cell>
          <cell r="E778" t="str">
            <v>PIT</v>
          </cell>
          <cell r="I778">
            <v>17</v>
          </cell>
          <cell r="J778">
            <v>23</v>
          </cell>
          <cell r="L778">
            <v>0</v>
          </cell>
        </row>
        <row r="779">
          <cell r="B779">
            <v>2020</v>
          </cell>
          <cell r="C779">
            <v>14</v>
          </cell>
          <cell r="E779" t="str">
            <v>PIT</v>
          </cell>
          <cell r="I779">
            <v>15</v>
          </cell>
          <cell r="J779">
            <v>26</v>
          </cell>
          <cell r="L779">
            <v>0</v>
          </cell>
        </row>
        <row r="780">
          <cell r="B780">
            <v>2020</v>
          </cell>
          <cell r="C780">
            <v>15</v>
          </cell>
          <cell r="E780" t="str">
            <v>PIT</v>
          </cell>
          <cell r="I780">
            <v>17</v>
          </cell>
          <cell r="J780">
            <v>27</v>
          </cell>
          <cell r="L780">
            <v>0</v>
          </cell>
        </row>
        <row r="781">
          <cell r="B781">
            <v>2020</v>
          </cell>
          <cell r="C781">
            <v>16</v>
          </cell>
          <cell r="E781" t="str">
            <v>PIT</v>
          </cell>
          <cell r="I781">
            <v>28</v>
          </cell>
          <cell r="J781">
            <v>24</v>
          </cell>
          <cell r="L781">
            <v>0</v>
          </cell>
        </row>
        <row r="782">
          <cell r="B782">
            <v>2020</v>
          </cell>
          <cell r="C782">
            <v>17</v>
          </cell>
          <cell r="E782" t="str">
            <v>PIT</v>
          </cell>
          <cell r="I782">
            <v>22</v>
          </cell>
          <cell r="J782">
            <v>24</v>
          </cell>
          <cell r="L782">
            <v>0</v>
          </cell>
        </row>
        <row r="783">
          <cell r="B783">
            <v>2020</v>
          </cell>
          <cell r="C783">
            <v>1</v>
          </cell>
          <cell r="E783" t="str">
            <v>PIT</v>
          </cell>
          <cell r="I783">
            <v>37</v>
          </cell>
          <cell r="J783">
            <v>48</v>
          </cell>
          <cell r="L783">
            <v>1</v>
          </cell>
        </row>
        <row r="784">
          <cell r="B784">
            <v>2021</v>
          </cell>
          <cell r="C784">
            <v>1</v>
          </cell>
          <cell r="E784" t="str">
            <v>PIT</v>
          </cell>
          <cell r="I784">
            <v>23</v>
          </cell>
          <cell r="J784">
            <v>16</v>
          </cell>
          <cell r="L784">
            <v>0</v>
          </cell>
        </row>
        <row r="785">
          <cell r="B785">
            <v>2021</v>
          </cell>
          <cell r="C785">
            <v>2</v>
          </cell>
          <cell r="E785" t="str">
            <v>PIT</v>
          </cell>
          <cell r="I785">
            <v>17</v>
          </cell>
          <cell r="J785">
            <v>26</v>
          </cell>
          <cell r="L785">
            <v>0</v>
          </cell>
        </row>
        <row r="786">
          <cell r="B786">
            <v>2021</v>
          </cell>
          <cell r="C786">
            <v>3</v>
          </cell>
          <cell r="E786" t="str">
            <v>PIT</v>
          </cell>
          <cell r="I786">
            <v>10</v>
          </cell>
          <cell r="J786">
            <v>24</v>
          </cell>
          <cell r="L786">
            <v>0</v>
          </cell>
        </row>
        <row r="787">
          <cell r="B787">
            <v>2021</v>
          </cell>
          <cell r="C787">
            <v>4</v>
          </cell>
          <cell r="E787" t="str">
            <v>PIT</v>
          </cell>
          <cell r="I787">
            <v>17</v>
          </cell>
          <cell r="J787">
            <v>27</v>
          </cell>
          <cell r="L787">
            <v>0</v>
          </cell>
        </row>
        <row r="788">
          <cell r="B788">
            <v>2021</v>
          </cell>
          <cell r="C788">
            <v>5</v>
          </cell>
          <cell r="E788" t="str">
            <v>PIT</v>
          </cell>
          <cell r="I788">
            <v>27</v>
          </cell>
          <cell r="J788">
            <v>19</v>
          </cell>
          <cell r="L788">
            <v>0</v>
          </cell>
        </row>
        <row r="789">
          <cell r="B789">
            <v>2021</v>
          </cell>
          <cell r="C789">
            <v>6</v>
          </cell>
          <cell r="E789" t="str">
            <v>PIT</v>
          </cell>
          <cell r="I789">
            <v>23</v>
          </cell>
          <cell r="J789">
            <v>20</v>
          </cell>
          <cell r="L789">
            <v>0</v>
          </cell>
        </row>
        <row r="790">
          <cell r="B790">
            <v>2021</v>
          </cell>
          <cell r="C790">
            <v>8</v>
          </cell>
          <cell r="E790" t="str">
            <v>PIT</v>
          </cell>
          <cell r="I790">
            <v>15</v>
          </cell>
          <cell r="J790">
            <v>10</v>
          </cell>
          <cell r="L790">
            <v>0</v>
          </cell>
        </row>
        <row r="791">
          <cell r="B791">
            <v>2021</v>
          </cell>
          <cell r="C791">
            <v>9</v>
          </cell>
          <cell r="E791" t="str">
            <v>PIT</v>
          </cell>
          <cell r="I791">
            <v>29</v>
          </cell>
          <cell r="J791">
            <v>27</v>
          </cell>
          <cell r="L791">
            <v>0</v>
          </cell>
        </row>
        <row r="792">
          <cell r="B792">
            <v>2021</v>
          </cell>
          <cell r="C792">
            <v>10</v>
          </cell>
          <cell r="E792" t="str">
            <v>PIT</v>
          </cell>
          <cell r="I792">
            <v>16</v>
          </cell>
          <cell r="J792">
            <v>16</v>
          </cell>
          <cell r="L792">
            <v>0</v>
          </cell>
        </row>
        <row r="793">
          <cell r="B793">
            <v>2021</v>
          </cell>
          <cell r="C793">
            <v>11</v>
          </cell>
          <cell r="E793" t="str">
            <v>PIT</v>
          </cell>
          <cell r="I793">
            <v>37</v>
          </cell>
          <cell r="J793">
            <v>41</v>
          </cell>
          <cell r="L793">
            <v>0</v>
          </cell>
        </row>
        <row r="794">
          <cell r="B794">
            <v>2021</v>
          </cell>
          <cell r="C794">
            <v>12</v>
          </cell>
          <cell r="E794" t="str">
            <v>PIT</v>
          </cell>
          <cell r="I794">
            <v>10</v>
          </cell>
          <cell r="J794">
            <v>41</v>
          </cell>
          <cell r="L794">
            <v>0</v>
          </cell>
        </row>
        <row r="795">
          <cell r="B795">
            <v>2021</v>
          </cell>
          <cell r="C795">
            <v>13</v>
          </cell>
          <cell r="E795" t="str">
            <v>PIT</v>
          </cell>
          <cell r="I795">
            <v>20</v>
          </cell>
          <cell r="J795">
            <v>19</v>
          </cell>
          <cell r="L795">
            <v>0</v>
          </cell>
        </row>
        <row r="796">
          <cell r="B796">
            <v>2021</v>
          </cell>
          <cell r="C796">
            <v>14</v>
          </cell>
          <cell r="E796" t="str">
            <v>PIT</v>
          </cell>
          <cell r="I796">
            <v>28</v>
          </cell>
          <cell r="J796">
            <v>36</v>
          </cell>
          <cell r="L796">
            <v>0</v>
          </cell>
        </row>
        <row r="797">
          <cell r="B797">
            <v>2021</v>
          </cell>
          <cell r="C797">
            <v>15</v>
          </cell>
          <cell r="E797" t="str">
            <v>PIT</v>
          </cell>
          <cell r="I797">
            <v>19</v>
          </cell>
          <cell r="J797">
            <v>13</v>
          </cell>
          <cell r="L797">
            <v>0</v>
          </cell>
        </row>
        <row r="798">
          <cell r="B798">
            <v>2021</v>
          </cell>
          <cell r="C798">
            <v>16</v>
          </cell>
          <cell r="E798" t="str">
            <v>PIT</v>
          </cell>
          <cell r="I798">
            <v>10</v>
          </cell>
          <cell r="J798">
            <v>36</v>
          </cell>
          <cell r="L798">
            <v>0</v>
          </cell>
        </row>
        <row r="799">
          <cell r="B799">
            <v>2021</v>
          </cell>
          <cell r="C799">
            <v>17</v>
          </cell>
          <cell r="E799" t="str">
            <v>PIT</v>
          </cell>
          <cell r="I799">
            <v>26</v>
          </cell>
          <cell r="J799">
            <v>14</v>
          </cell>
          <cell r="L799">
            <v>0</v>
          </cell>
        </row>
        <row r="800">
          <cell r="B800">
            <v>2021</v>
          </cell>
          <cell r="C800">
            <v>18</v>
          </cell>
          <cell r="E800" t="str">
            <v>PIT</v>
          </cell>
          <cell r="I800">
            <v>16</v>
          </cell>
          <cell r="J800">
            <v>13</v>
          </cell>
          <cell r="L800">
            <v>0</v>
          </cell>
        </row>
        <row r="801">
          <cell r="B801">
            <v>2021</v>
          </cell>
          <cell r="C801">
            <v>1</v>
          </cell>
          <cell r="E801" t="str">
            <v>PIT</v>
          </cell>
          <cell r="I801">
            <v>21</v>
          </cell>
          <cell r="J801">
            <v>42</v>
          </cell>
          <cell r="L801">
            <v>1</v>
          </cell>
        </row>
        <row r="802">
          <cell r="B802">
            <v>2022</v>
          </cell>
          <cell r="C802">
            <v>1</v>
          </cell>
          <cell r="E802" t="str">
            <v>PIT</v>
          </cell>
          <cell r="I802">
            <v>23</v>
          </cell>
          <cell r="J802">
            <v>20</v>
          </cell>
          <cell r="L802">
            <v>0</v>
          </cell>
        </row>
        <row r="803">
          <cell r="B803">
            <v>2022</v>
          </cell>
          <cell r="C803">
            <v>2</v>
          </cell>
          <cell r="E803" t="str">
            <v>PIT</v>
          </cell>
          <cell r="I803">
            <v>14</v>
          </cell>
          <cell r="J803">
            <v>17</v>
          </cell>
          <cell r="L803">
            <v>0</v>
          </cell>
        </row>
        <row r="804">
          <cell r="B804">
            <v>2022</v>
          </cell>
          <cell r="C804">
            <v>3</v>
          </cell>
          <cell r="E804" t="str">
            <v>PIT</v>
          </cell>
          <cell r="I804">
            <v>17</v>
          </cell>
          <cell r="J804">
            <v>29</v>
          </cell>
          <cell r="L804">
            <v>0</v>
          </cell>
        </row>
        <row r="805">
          <cell r="B805">
            <v>2022</v>
          </cell>
          <cell r="C805">
            <v>4</v>
          </cell>
          <cell r="E805" t="str">
            <v>PIT</v>
          </cell>
          <cell r="I805">
            <v>20</v>
          </cell>
          <cell r="J805">
            <v>24</v>
          </cell>
          <cell r="L805">
            <v>0</v>
          </cell>
        </row>
        <row r="806">
          <cell r="B806">
            <v>2022</v>
          </cell>
          <cell r="C806">
            <v>5</v>
          </cell>
          <cell r="E806" t="str">
            <v>PIT</v>
          </cell>
          <cell r="I806">
            <v>3</v>
          </cell>
          <cell r="J806">
            <v>38</v>
          </cell>
          <cell r="L806">
            <v>0</v>
          </cell>
        </row>
        <row r="807">
          <cell r="B807">
            <v>2022</v>
          </cell>
          <cell r="C807">
            <v>6</v>
          </cell>
          <cell r="E807" t="str">
            <v>PIT</v>
          </cell>
          <cell r="I807">
            <v>20</v>
          </cell>
          <cell r="J807">
            <v>18</v>
          </cell>
          <cell r="L807">
            <v>0</v>
          </cell>
        </row>
        <row r="808">
          <cell r="B808">
            <v>2022</v>
          </cell>
          <cell r="C808">
            <v>7</v>
          </cell>
          <cell r="E808" t="str">
            <v>PIT</v>
          </cell>
          <cell r="I808">
            <v>10</v>
          </cell>
          <cell r="J808">
            <v>16</v>
          </cell>
          <cell r="L808">
            <v>0</v>
          </cell>
        </row>
        <row r="809">
          <cell r="B809">
            <v>2022</v>
          </cell>
          <cell r="C809">
            <v>8</v>
          </cell>
          <cell r="E809" t="str">
            <v>PIT</v>
          </cell>
          <cell r="I809">
            <v>13</v>
          </cell>
          <cell r="J809">
            <v>35</v>
          </cell>
          <cell r="L809">
            <v>0</v>
          </cell>
        </row>
        <row r="810">
          <cell r="B810">
            <v>2022</v>
          </cell>
          <cell r="C810">
            <v>10</v>
          </cell>
          <cell r="E810" t="str">
            <v>PIT</v>
          </cell>
          <cell r="I810">
            <v>20</v>
          </cell>
          <cell r="J810">
            <v>10</v>
          </cell>
          <cell r="L810">
            <v>0</v>
          </cell>
        </row>
        <row r="811">
          <cell r="B811">
            <v>2022</v>
          </cell>
          <cell r="C811">
            <v>11</v>
          </cell>
          <cell r="E811" t="str">
            <v>PIT</v>
          </cell>
          <cell r="I811">
            <v>30</v>
          </cell>
          <cell r="J811">
            <v>37</v>
          </cell>
          <cell r="L811">
            <v>0</v>
          </cell>
        </row>
        <row r="812">
          <cell r="B812">
            <v>2022</v>
          </cell>
          <cell r="C812">
            <v>12</v>
          </cell>
          <cell r="E812" t="str">
            <v>PIT</v>
          </cell>
          <cell r="I812">
            <v>24</v>
          </cell>
          <cell r="J812">
            <v>17</v>
          </cell>
          <cell r="L812">
            <v>0</v>
          </cell>
        </row>
        <row r="813">
          <cell r="B813">
            <v>2022</v>
          </cell>
          <cell r="C813">
            <v>13</v>
          </cell>
          <cell r="E813" t="str">
            <v>PIT</v>
          </cell>
          <cell r="I813">
            <v>19</v>
          </cell>
          <cell r="J813">
            <v>16</v>
          </cell>
          <cell r="L813">
            <v>0</v>
          </cell>
        </row>
        <row r="814">
          <cell r="B814">
            <v>2022</v>
          </cell>
          <cell r="C814">
            <v>14</v>
          </cell>
          <cell r="E814" t="str">
            <v>PIT</v>
          </cell>
          <cell r="I814">
            <v>14</v>
          </cell>
          <cell r="J814">
            <v>16</v>
          </cell>
          <cell r="L814">
            <v>0</v>
          </cell>
        </row>
        <row r="815">
          <cell r="B815">
            <v>2022</v>
          </cell>
          <cell r="C815">
            <v>15</v>
          </cell>
          <cell r="E815" t="str">
            <v>PIT</v>
          </cell>
          <cell r="I815">
            <v>24</v>
          </cell>
          <cell r="J815">
            <v>16</v>
          </cell>
          <cell r="L815">
            <v>0</v>
          </cell>
        </row>
        <row r="816">
          <cell r="B816">
            <v>2022</v>
          </cell>
          <cell r="C816">
            <v>16</v>
          </cell>
          <cell r="E816" t="str">
            <v>PIT</v>
          </cell>
          <cell r="I816">
            <v>13</v>
          </cell>
          <cell r="J816">
            <v>10</v>
          </cell>
          <cell r="L816">
            <v>0</v>
          </cell>
        </row>
        <row r="817">
          <cell r="B817">
            <v>2022</v>
          </cell>
          <cell r="C817">
            <v>17</v>
          </cell>
          <cell r="E817" t="str">
            <v>PIT</v>
          </cell>
          <cell r="I817">
            <v>16</v>
          </cell>
          <cell r="J817">
            <v>13</v>
          </cell>
          <cell r="L817">
            <v>0</v>
          </cell>
        </row>
        <row r="818">
          <cell r="B818">
            <v>2022</v>
          </cell>
          <cell r="C818">
            <v>18</v>
          </cell>
          <cell r="E818" t="str">
            <v>PIT</v>
          </cell>
          <cell r="I818">
            <v>28</v>
          </cell>
          <cell r="J818">
            <v>14</v>
          </cell>
          <cell r="L818">
            <v>0</v>
          </cell>
        </row>
        <row r="819">
          <cell r="B819">
            <v>2023</v>
          </cell>
          <cell r="C819">
            <v>1</v>
          </cell>
          <cell r="E819" t="str">
            <v>PIT</v>
          </cell>
          <cell r="I819">
            <v>7</v>
          </cell>
          <cell r="J819">
            <v>30</v>
          </cell>
          <cell r="L819">
            <v>0</v>
          </cell>
        </row>
        <row r="820">
          <cell r="B820">
            <v>2023</v>
          </cell>
          <cell r="C820">
            <v>2</v>
          </cell>
          <cell r="E820" t="str">
            <v>PIT</v>
          </cell>
          <cell r="I820">
            <v>26</v>
          </cell>
          <cell r="J820">
            <v>22</v>
          </cell>
          <cell r="L820">
            <v>0</v>
          </cell>
        </row>
        <row r="821">
          <cell r="B821">
            <v>2023</v>
          </cell>
          <cell r="C821">
            <v>3</v>
          </cell>
          <cell r="E821" t="str">
            <v>PIT</v>
          </cell>
          <cell r="I821">
            <v>23</v>
          </cell>
          <cell r="J821">
            <v>18</v>
          </cell>
          <cell r="L821">
            <v>0</v>
          </cell>
        </row>
        <row r="822">
          <cell r="B822">
            <v>2023</v>
          </cell>
          <cell r="C822">
            <v>4</v>
          </cell>
          <cell r="E822" t="str">
            <v>PIT</v>
          </cell>
          <cell r="I822">
            <v>6</v>
          </cell>
          <cell r="J822">
            <v>30</v>
          </cell>
          <cell r="L822">
            <v>0</v>
          </cell>
        </row>
        <row r="823">
          <cell r="B823">
            <v>2023</v>
          </cell>
          <cell r="C823">
            <v>5</v>
          </cell>
          <cell r="E823" t="str">
            <v>PIT</v>
          </cell>
          <cell r="I823">
            <v>17</v>
          </cell>
          <cell r="J823">
            <v>10</v>
          </cell>
          <cell r="L823">
            <v>0</v>
          </cell>
        </row>
        <row r="824">
          <cell r="B824">
            <v>2023</v>
          </cell>
          <cell r="C824">
            <v>7</v>
          </cell>
          <cell r="E824" t="str">
            <v>PIT</v>
          </cell>
          <cell r="I824">
            <v>24</v>
          </cell>
          <cell r="J824">
            <v>17</v>
          </cell>
          <cell r="L824">
            <v>0</v>
          </cell>
        </row>
        <row r="825">
          <cell r="B825">
            <v>2023</v>
          </cell>
          <cell r="C825">
            <v>8</v>
          </cell>
          <cell r="E825" t="str">
            <v>PIT</v>
          </cell>
          <cell r="I825">
            <v>10</v>
          </cell>
          <cell r="J825">
            <v>20</v>
          </cell>
          <cell r="L825">
            <v>0</v>
          </cell>
        </row>
        <row r="826">
          <cell r="B826">
            <v>2023</v>
          </cell>
          <cell r="C826">
            <v>9</v>
          </cell>
          <cell r="E826" t="str">
            <v>PIT</v>
          </cell>
          <cell r="I826">
            <v>20</v>
          </cell>
          <cell r="J826">
            <v>16</v>
          </cell>
          <cell r="L826">
            <v>0</v>
          </cell>
        </row>
        <row r="827">
          <cell r="B827">
            <v>2023</v>
          </cell>
          <cell r="C827">
            <v>10</v>
          </cell>
          <cell r="E827" t="str">
            <v>PIT</v>
          </cell>
          <cell r="I827">
            <v>23</v>
          </cell>
          <cell r="J827">
            <v>19</v>
          </cell>
          <cell r="L827">
            <v>0</v>
          </cell>
        </row>
        <row r="828">
          <cell r="B828">
            <v>2023</v>
          </cell>
          <cell r="C828">
            <v>11</v>
          </cell>
          <cell r="E828" t="str">
            <v>PIT</v>
          </cell>
          <cell r="I828">
            <v>10</v>
          </cell>
          <cell r="J828">
            <v>13</v>
          </cell>
          <cell r="L828">
            <v>0</v>
          </cell>
        </row>
        <row r="829">
          <cell r="B829">
            <v>2023</v>
          </cell>
          <cell r="C829">
            <v>12</v>
          </cell>
          <cell r="E829" t="str">
            <v>PIT</v>
          </cell>
          <cell r="I829">
            <v>16</v>
          </cell>
          <cell r="J829">
            <v>10</v>
          </cell>
          <cell r="L829">
            <v>0</v>
          </cell>
        </row>
        <row r="830">
          <cell r="B830">
            <v>2023</v>
          </cell>
          <cell r="C830">
            <v>13</v>
          </cell>
          <cell r="E830" t="str">
            <v>PIT</v>
          </cell>
          <cell r="I830">
            <v>10</v>
          </cell>
          <cell r="J830">
            <v>24</v>
          </cell>
          <cell r="L830">
            <v>0</v>
          </cell>
        </row>
        <row r="831">
          <cell r="B831">
            <v>2023</v>
          </cell>
          <cell r="C831">
            <v>14</v>
          </cell>
          <cell r="E831" t="str">
            <v>PIT</v>
          </cell>
          <cell r="I831">
            <v>18</v>
          </cell>
          <cell r="J831">
            <v>21</v>
          </cell>
          <cell r="L831">
            <v>0</v>
          </cell>
        </row>
        <row r="832">
          <cell r="B832">
            <v>2023</v>
          </cell>
          <cell r="C832">
            <v>15</v>
          </cell>
          <cell r="E832" t="str">
            <v>PIT</v>
          </cell>
          <cell r="I832">
            <v>13</v>
          </cell>
          <cell r="J832">
            <v>30</v>
          </cell>
          <cell r="L832">
            <v>0</v>
          </cell>
        </row>
        <row r="833">
          <cell r="B833">
            <v>2023</v>
          </cell>
          <cell r="C833">
            <v>16</v>
          </cell>
          <cell r="E833" t="str">
            <v>PIT</v>
          </cell>
          <cell r="I833">
            <v>34</v>
          </cell>
          <cell r="J833">
            <v>11</v>
          </cell>
          <cell r="L833">
            <v>0</v>
          </cell>
        </row>
        <row r="834">
          <cell r="B834">
            <v>2023</v>
          </cell>
          <cell r="C834">
            <v>17</v>
          </cell>
          <cell r="E834" t="str">
            <v>PIT</v>
          </cell>
          <cell r="I834">
            <v>30</v>
          </cell>
          <cell r="J834">
            <v>23</v>
          </cell>
          <cell r="L834">
            <v>0</v>
          </cell>
        </row>
        <row r="835">
          <cell r="B835">
            <v>2023</v>
          </cell>
          <cell r="C835">
            <v>18</v>
          </cell>
          <cell r="E835" t="str">
            <v>PIT</v>
          </cell>
          <cell r="I835">
            <v>17</v>
          </cell>
          <cell r="J835">
            <v>10</v>
          </cell>
          <cell r="L835">
            <v>0</v>
          </cell>
        </row>
        <row r="836">
          <cell r="B836">
            <v>2023</v>
          </cell>
          <cell r="C836">
            <v>1</v>
          </cell>
          <cell r="E836" t="str">
            <v>PIT</v>
          </cell>
          <cell r="I836">
            <v>17</v>
          </cell>
          <cell r="J836">
            <v>31</v>
          </cell>
          <cell r="L836">
            <v>1</v>
          </cell>
        </row>
        <row r="837">
          <cell r="B837">
            <v>2024</v>
          </cell>
          <cell r="C837">
            <v>1</v>
          </cell>
          <cell r="E837" t="str">
            <v>PIT</v>
          </cell>
          <cell r="I837">
            <v>18</v>
          </cell>
          <cell r="J837">
            <v>10</v>
          </cell>
          <cell r="L837">
            <v>0</v>
          </cell>
        </row>
        <row r="838">
          <cell r="B838">
            <v>2024</v>
          </cell>
          <cell r="C838">
            <v>2</v>
          </cell>
          <cell r="E838" t="str">
            <v>PIT</v>
          </cell>
          <cell r="I838">
            <v>13</v>
          </cell>
          <cell r="J838">
            <v>6</v>
          </cell>
          <cell r="L838">
            <v>0</v>
          </cell>
        </row>
        <row r="839">
          <cell r="B839">
            <v>2024</v>
          </cell>
          <cell r="C839">
            <v>3</v>
          </cell>
          <cell r="E839" t="str">
            <v>PIT</v>
          </cell>
          <cell r="I839">
            <v>20</v>
          </cell>
          <cell r="J839">
            <v>10</v>
          </cell>
          <cell r="L839">
            <v>0</v>
          </cell>
        </row>
        <row r="840">
          <cell r="B840">
            <v>2024</v>
          </cell>
          <cell r="C840">
            <v>4</v>
          </cell>
          <cell r="E840" t="str">
            <v>PIT</v>
          </cell>
          <cell r="I840">
            <v>24</v>
          </cell>
          <cell r="J840">
            <v>27</v>
          </cell>
          <cell r="L840">
            <v>0</v>
          </cell>
        </row>
        <row r="841">
          <cell r="B841">
            <v>2024</v>
          </cell>
          <cell r="C841">
            <v>5</v>
          </cell>
          <cell r="E841" t="str">
            <v>PIT</v>
          </cell>
          <cell r="I841">
            <v>17</v>
          </cell>
          <cell r="J841">
            <v>20</v>
          </cell>
          <cell r="L841">
            <v>0</v>
          </cell>
        </row>
        <row r="842">
          <cell r="B842">
            <v>2024</v>
          </cell>
          <cell r="C842">
            <v>6</v>
          </cell>
          <cell r="E842" t="str">
            <v>PIT</v>
          </cell>
          <cell r="I842">
            <v>32</v>
          </cell>
          <cell r="J842">
            <v>13</v>
          </cell>
          <cell r="L842">
            <v>0</v>
          </cell>
        </row>
        <row r="843">
          <cell r="B843">
            <v>2024</v>
          </cell>
          <cell r="C843">
            <v>7</v>
          </cell>
          <cell r="E843" t="str">
            <v>PIT</v>
          </cell>
          <cell r="I843">
            <v>37</v>
          </cell>
          <cell r="J843">
            <v>15</v>
          </cell>
          <cell r="L843">
            <v>0</v>
          </cell>
        </row>
        <row r="844">
          <cell r="B844">
            <v>2024</v>
          </cell>
          <cell r="C844">
            <v>8</v>
          </cell>
          <cell r="E844" t="str">
            <v>PIT</v>
          </cell>
          <cell r="I844">
            <v>26</v>
          </cell>
          <cell r="J844">
            <v>18</v>
          </cell>
          <cell r="L844">
            <v>0</v>
          </cell>
        </row>
        <row r="845">
          <cell r="B845">
            <v>2024</v>
          </cell>
          <cell r="C845">
            <v>10</v>
          </cell>
          <cell r="E845" t="str">
            <v>PIT</v>
          </cell>
          <cell r="I845">
            <v>28</v>
          </cell>
          <cell r="J845">
            <v>27</v>
          </cell>
          <cell r="L845">
            <v>0</v>
          </cell>
        </row>
        <row r="846">
          <cell r="B846">
            <v>2024</v>
          </cell>
          <cell r="C846">
            <v>11</v>
          </cell>
          <cell r="E846" t="str">
            <v>PIT</v>
          </cell>
          <cell r="I846">
            <v>18</v>
          </cell>
          <cell r="J846">
            <v>16</v>
          </cell>
          <cell r="L846">
            <v>0</v>
          </cell>
        </row>
        <row r="847">
          <cell r="B847">
            <v>2024</v>
          </cell>
          <cell r="C847">
            <v>12</v>
          </cell>
          <cell r="E847" t="str">
            <v>PIT</v>
          </cell>
          <cell r="I847">
            <v>19</v>
          </cell>
          <cell r="J847">
            <v>24</v>
          </cell>
          <cell r="L847">
            <v>0</v>
          </cell>
        </row>
        <row r="848">
          <cell r="B848">
            <v>2024</v>
          </cell>
          <cell r="C848">
            <v>13</v>
          </cell>
          <cell r="E848" t="str">
            <v>PIT</v>
          </cell>
          <cell r="I848">
            <v>44</v>
          </cell>
          <cell r="J848">
            <v>38</v>
          </cell>
          <cell r="L848">
            <v>0</v>
          </cell>
        </row>
        <row r="849">
          <cell r="B849">
            <v>2024</v>
          </cell>
          <cell r="C849">
            <v>14</v>
          </cell>
          <cell r="E849" t="str">
            <v>PIT</v>
          </cell>
          <cell r="I849">
            <v>27</v>
          </cell>
          <cell r="J849">
            <v>14</v>
          </cell>
          <cell r="L849">
            <v>0</v>
          </cell>
        </row>
        <row r="850">
          <cell r="B850">
            <v>2024</v>
          </cell>
          <cell r="C850">
            <v>15</v>
          </cell>
          <cell r="E850" t="str">
            <v>PIT</v>
          </cell>
          <cell r="I850">
            <v>13</v>
          </cell>
          <cell r="J850">
            <v>27</v>
          </cell>
          <cell r="L850">
            <v>0</v>
          </cell>
        </row>
        <row r="851">
          <cell r="B851">
            <v>2024</v>
          </cell>
          <cell r="C851">
            <v>16</v>
          </cell>
          <cell r="E851" t="str">
            <v>PIT</v>
          </cell>
          <cell r="I851">
            <v>17</v>
          </cell>
          <cell r="J851">
            <v>34</v>
          </cell>
          <cell r="L851">
            <v>0</v>
          </cell>
        </row>
        <row r="852">
          <cell r="B852">
            <v>2024</v>
          </cell>
          <cell r="C852">
            <v>17</v>
          </cell>
          <cell r="E852" t="str">
            <v>PIT</v>
          </cell>
          <cell r="I852">
            <v>10</v>
          </cell>
          <cell r="J852">
            <v>29</v>
          </cell>
          <cell r="L852">
            <v>0</v>
          </cell>
        </row>
        <row r="853">
          <cell r="B853">
            <v>2024</v>
          </cell>
          <cell r="C853">
            <v>18</v>
          </cell>
          <cell r="E853" t="str">
            <v>PIT</v>
          </cell>
          <cell r="I853">
            <v>17</v>
          </cell>
          <cell r="J853">
            <v>19</v>
          </cell>
          <cell r="L853">
            <v>0</v>
          </cell>
        </row>
        <row r="854">
          <cell r="B854">
            <v>2024</v>
          </cell>
          <cell r="C854">
            <v>1</v>
          </cell>
          <cell r="E854" t="str">
            <v>PIT</v>
          </cell>
          <cell r="I854">
            <v>14</v>
          </cell>
          <cell r="J854">
            <v>28</v>
          </cell>
          <cell r="L854">
            <v>1</v>
          </cell>
        </row>
        <row r="855">
          <cell r="B855">
            <v>2025</v>
          </cell>
          <cell r="C855">
            <v>1</v>
          </cell>
          <cell r="E855" t="str">
            <v>PIT</v>
          </cell>
          <cell r="I855">
            <v>34</v>
          </cell>
          <cell r="J855">
            <v>32</v>
          </cell>
          <cell r="L855">
            <v>0</v>
          </cell>
        </row>
        <row r="856">
          <cell r="B856">
            <v>2025</v>
          </cell>
          <cell r="C856">
            <v>2</v>
          </cell>
          <cell r="E856" t="str">
            <v>PIT</v>
          </cell>
          <cell r="I856">
            <v>17</v>
          </cell>
          <cell r="J856">
            <v>31</v>
          </cell>
          <cell r="L856">
            <v>0</v>
          </cell>
        </row>
        <row r="857">
          <cell r="B857">
            <v>2025</v>
          </cell>
          <cell r="C857">
            <v>3</v>
          </cell>
          <cell r="E857" t="str">
            <v>PIT</v>
          </cell>
          <cell r="I857">
            <v>21</v>
          </cell>
          <cell r="J857">
            <v>14</v>
          </cell>
          <cell r="L857">
            <v>0</v>
          </cell>
        </row>
        <row r="858">
          <cell r="B858">
            <v>2025</v>
          </cell>
          <cell r="C858">
            <v>4</v>
          </cell>
          <cell r="E858" t="str">
            <v>PIT</v>
          </cell>
          <cell r="I858">
            <v>24</v>
          </cell>
          <cell r="J858">
            <v>21</v>
          </cell>
          <cell r="L858">
            <v>0</v>
          </cell>
        </row>
        <row r="859">
          <cell r="B859">
            <v>2025</v>
          </cell>
          <cell r="C859">
            <v>6</v>
          </cell>
          <cell r="E859" t="str">
            <v>PIT</v>
          </cell>
          <cell r="I859">
            <v>23</v>
          </cell>
          <cell r="J859">
            <v>9</v>
          </cell>
          <cell r="L859">
            <v>0</v>
          </cell>
        </row>
        <row r="860">
          <cell r="B860">
            <v>2025</v>
          </cell>
          <cell r="C860">
            <v>7</v>
          </cell>
          <cell r="E860" t="str">
            <v>PIT</v>
          </cell>
          <cell r="I860">
            <v>31</v>
          </cell>
          <cell r="J860">
            <v>33</v>
          </cell>
          <cell r="L860">
            <v>0</v>
          </cell>
        </row>
        <row r="861">
          <cell r="B861">
            <v>2025</v>
          </cell>
          <cell r="C861">
            <v>8</v>
          </cell>
          <cell r="E861" t="str">
            <v>PIT</v>
          </cell>
          <cell r="I861">
            <v>25</v>
          </cell>
          <cell r="J861">
            <v>35</v>
          </cell>
          <cell r="L861">
            <v>0</v>
          </cell>
        </row>
        <row r="862">
          <cell r="B862">
            <v>2025</v>
          </cell>
          <cell r="C862">
            <v>9</v>
          </cell>
          <cell r="E862" t="str">
            <v>PIT</v>
          </cell>
          <cell r="I862">
            <v>27</v>
          </cell>
          <cell r="J862">
            <v>20</v>
          </cell>
          <cell r="L862">
            <v>0</v>
          </cell>
        </row>
        <row r="863">
          <cell r="B863">
            <v>2025</v>
          </cell>
          <cell r="C863">
            <v>10</v>
          </cell>
          <cell r="E863" t="str">
            <v>PIT</v>
          </cell>
          <cell r="I863">
            <v>10</v>
          </cell>
          <cell r="J863">
            <v>25</v>
          </cell>
          <cell r="L863">
            <v>0</v>
          </cell>
        </row>
        <row r="864">
          <cell r="B864">
            <v>2025</v>
          </cell>
          <cell r="C864">
            <v>11</v>
          </cell>
          <cell r="E864" t="str">
            <v>PIT</v>
          </cell>
          <cell r="I864">
            <v>34</v>
          </cell>
          <cell r="J864">
            <v>12</v>
          </cell>
          <cell r="L864">
            <v>0</v>
          </cell>
        </row>
        <row r="865">
          <cell r="B865">
            <v>2025</v>
          </cell>
          <cell r="C865">
            <v>12</v>
          </cell>
          <cell r="E865" t="str">
            <v>PIT</v>
          </cell>
          <cell r="I865">
            <v>28</v>
          </cell>
          <cell r="J865">
            <v>31</v>
          </cell>
          <cell r="L865">
            <v>0</v>
          </cell>
        </row>
        <row r="866">
          <cell r="B866">
            <v>2025</v>
          </cell>
          <cell r="C866">
            <v>13</v>
          </cell>
          <cell r="E866" t="str">
            <v>PIT</v>
          </cell>
          <cell r="I866">
            <v>7</v>
          </cell>
          <cell r="J866">
            <v>26</v>
          </cell>
          <cell r="L866">
            <v>0</v>
          </cell>
        </row>
        <row r="867">
          <cell r="B867">
            <v>2025</v>
          </cell>
          <cell r="C867">
            <v>14</v>
          </cell>
          <cell r="E867" t="str">
            <v>PIT</v>
          </cell>
          <cell r="I867">
            <v>27</v>
          </cell>
          <cell r="J867">
            <v>22</v>
          </cell>
          <cell r="L867">
            <v>0</v>
          </cell>
        </row>
        <row r="868">
          <cell r="B868">
            <v>2025</v>
          </cell>
          <cell r="C868">
            <v>15</v>
          </cell>
          <cell r="E868" t="str">
            <v>PIT</v>
          </cell>
          <cell r="I868">
            <v>28</v>
          </cell>
          <cell r="J868">
            <v>15</v>
          </cell>
          <cell r="L868">
            <v>0</v>
          </cell>
        </row>
        <row r="869">
          <cell r="B869">
            <v>2025</v>
          </cell>
          <cell r="C869">
            <v>16</v>
          </cell>
          <cell r="E869" t="str">
            <v>PIT</v>
          </cell>
          <cell r="I869">
            <v>29</v>
          </cell>
          <cell r="J869">
            <v>24</v>
          </cell>
          <cell r="L869">
            <v>0</v>
          </cell>
        </row>
        <row r="870">
          <cell r="B870">
            <v>2025</v>
          </cell>
          <cell r="C870">
            <v>17</v>
          </cell>
          <cell r="E870" t="str">
            <v>PIT</v>
          </cell>
          <cell r="I870">
            <v>6</v>
          </cell>
          <cell r="J870">
            <v>13</v>
          </cell>
          <cell r="L870">
            <v>0</v>
          </cell>
        </row>
        <row r="871">
          <cell r="B871">
            <v>2025</v>
          </cell>
          <cell r="C871">
            <v>18</v>
          </cell>
          <cell r="E871" t="str">
            <v>PIT</v>
          </cell>
          <cell r="I871">
            <v>26</v>
          </cell>
          <cell r="J871">
            <v>24</v>
          </cell>
          <cell r="L871">
            <v>0</v>
          </cell>
        </row>
        <row r="872">
          <cell r="B872">
            <v>2025</v>
          </cell>
          <cell r="C872">
            <v>1</v>
          </cell>
          <cell r="E872" t="str">
            <v>PIT</v>
          </cell>
          <cell r="I872">
            <v>6</v>
          </cell>
          <cell r="J872">
            <v>30</v>
          </cell>
          <cell r="L872">
            <v>1</v>
          </cell>
        </row>
        <row r="873">
          <cell r="B873">
            <v>2026</v>
          </cell>
          <cell r="C873">
            <v>1</v>
          </cell>
          <cell r="E873" t="str">
            <v>PIT</v>
          </cell>
          <cell r="I873">
            <v>20</v>
          </cell>
          <cell r="J873">
            <v>13</v>
          </cell>
          <cell r="L873">
            <v>0</v>
          </cell>
        </row>
        <row r="874">
          <cell r="B874">
            <v>2026</v>
          </cell>
          <cell r="C874">
            <v>2</v>
          </cell>
          <cell r="E874" t="str">
            <v>PIT</v>
          </cell>
          <cell r="I874">
            <v>3</v>
          </cell>
          <cell r="J874">
            <v>20</v>
          </cell>
          <cell r="L874">
            <v>0</v>
          </cell>
        </row>
        <row r="875">
          <cell r="B875">
            <v>2026</v>
          </cell>
          <cell r="C875">
            <v>3</v>
          </cell>
          <cell r="E875" t="str">
            <v>PIT</v>
          </cell>
          <cell r="I875">
            <v>30</v>
          </cell>
          <cell r="J875">
            <v>27</v>
          </cell>
          <cell r="L875">
            <v>0</v>
          </cell>
        </row>
        <row r="876">
          <cell r="B876">
            <v>2026</v>
          </cell>
          <cell r="C876">
            <v>4</v>
          </cell>
          <cell r="E876" t="str">
            <v>PIT</v>
          </cell>
          <cell r="I876">
            <v>24</v>
          </cell>
          <cell r="J876">
            <v>27</v>
          </cell>
          <cell r="L876">
            <v>0</v>
          </cell>
        </row>
        <row r="877">
          <cell r="B877">
            <v>2026</v>
          </cell>
          <cell r="C877">
            <v>5</v>
          </cell>
          <cell r="E877" t="str">
            <v>PIT</v>
          </cell>
          <cell r="I877">
            <v>34</v>
          </cell>
          <cell r="J877">
            <v>22</v>
          </cell>
          <cell r="L877">
            <v>0</v>
          </cell>
        </row>
        <row r="878">
          <cell r="B878">
            <v>2026</v>
          </cell>
          <cell r="C878">
            <v>6</v>
          </cell>
          <cell r="E878" t="str">
            <v>PIT</v>
          </cell>
          <cell r="I878">
            <v>26</v>
          </cell>
          <cell r="J878">
            <v>19</v>
          </cell>
          <cell r="L878">
            <v>0</v>
          </cell>
        </row>
        <row r="879">
          <cell r="B879">
            <v>2026</v>
          </cell>
          <cell r="C879">
            <v>7</v>
          </cell>
          <cell r="E879" t="str">
            <v>PIT</v>
          </cell>
          <cell r="L879">
            <v>0</v>
          </cell>
        </row>
        <row r="880">
          <cell r="B880">
            <v>2018</v>
          </cell>
          <cell r="C880">
            <v>1</v>
          </cell>
          <cell r="E880" t="str">
            <v>CLE</v>
          </cell>
          <cell r="I880">
            <v>21</v>
          </cell>
          <cell r="J880">
            <v>21</v>
          </cell>
          <cell r="L880">
            <v>0</v>
          </cell>
        </row>
        <row r="881">
          <cell r="B881">
            <v>2018</v>
          </cell>
          <cell r="C881">
            <v>2</v>
          </cell>
          <cell r="E881" t="str">
            <v>CLE</v>
          </cell>
          <cell r="I881">
            <v>18</v>
          </cell>
          <cell r="J881">
            <v>21</v>
          </cell>
          <cell r="L881">
            <v>0</v>
          </cell>
        </row>
        <row r="882">
          <cell r="B882">
            <v>2018</v>
          </cell>
          <cell r="C882">
            <v>3</v>
          </cell>
          <cell r="E882" t="str">
            <v>CLE</v>
          </cell>
          <cell r="I882">
            <v>21</v>
          </cell>
          <cell r="J882">
            <v>17</v>
          </cell>
          <cell r="L882">
            <v>0</v>
          </cell>
        </row>
        <row r="883">
          <cell r="B883">
            <v>2018</v>
          </cell>
          <cell r="C883">
            <v>4</v>
          </cell>
          <cell r="E883" t="str">
            <v>CLE</v>
          </cell>
          <cell r="I883">
            <v>42</v>
          </cell>
          <cell r="J883">
            <v>45</v>
          </cell>
          <cell r="L883">
            <v>0</v>
          </cell>
        </row>
        <row r="884">
          <cell r="B884">
            <v>2018</v>
          </cell>
          <cell r="C884">
            <v>5</v>
          </cell>
          <cell r="E884" t="str">
            <v>CLE</v>
          </cell>
          <cell r="I884">
            <v>12</v>
          </cell>
          <cell r="J884">
            <v>9</v>
          </cell>
          <cell r="L884">
            <v>0</v>
          </cell>
        </row>
        <row r="885">
          <cell r="B885">
            <v>2018</v>
          </cell>
          <cell r="C885">
            <v>6</v>
          </cell>
          <cell r="E885" t="str">
            <v>CLE</v>
          </cell>
          <cell r="I885">
            <v>14</v>
          </cell>
          <cell r="J885">
            <v>38</v>
          </cell>
          <cell r="L885">
            <v>0</v>
          </cell>
        </row>
        <row r="886">
          <cell r="B886">
            <v>2018</v>
          </cell>
          <cell r="C886">
            <v>7</v>
          </cell>
          <cell r="E886" t="str">
            <v>CLE</v>
          </cell>
          <cell r="I886">
            <v>23</v>
          </cell>
          <cell r="J886">
            <v>26</v>
          </cell>
          <cell r="L886">
            <v>0</v>
          </cell>
        </row>
        <row r="887">
          <cell r="B887">
            <v>2018</v>
          </cell>
          <cell r="C887">
            <v>8</v>
          </cell>
          <cell r="E887" t="str">
            <v>CLE</v>
          </cell>
          <cell r="I887">
            <v>18</v>
          </cell>
          <cell r="J887">
            <v>33</v>
          </cell>
          <cell r="L887">
            <v>0</v>
          </cell>
        </row>
        <row r="888">
          <cell r="B888">
            <v>2018</v>
          </cell>
          <cell r="C888">
            <v>9</v>
          </cell>
          <cell r="E888" t="str">
            <v>CLE</v>
          </cell>
          <cell r="I888">
            <v>21</v>
          </cell>
          <cell r="J888">
            <v>37</v>
          </cell>
          <cell r="L888">
            <v>0</v>
          </cell>
        </row>
        <row r="889">
          <cell r="B889">
            <v>2018</v>
          </cell>
          <cell r="C889">
            <v>10</v>
          </cell>
          <cell r="E889" t="str">
            <v>CLE</v>
          </cell>
          <cell r="I889">
            <v>28</v>
          </cell>
          <cell r="J889">
            <v>16</v>
          </cell>
          <cell r="L889">
            <v>0</v>
          </cell>
        </row>
        <row r="890">
          <cell r="B890">
            <v>2018</v>
          </cell>
          <cell r="C890">
            <v>12</v>
          </cell>
          <cell r="E890" t="str">
            <v>CLE</v>
          </cell>
          <cell r="I890">
            <v>35</v>
          </cell>
          <cell r="J890">
            <v>20</v>
          </cell>
          <cell r="L890">
            <v>0</v>
          </cell>
        </row>
        <row r="891">
          <cell r="B891">
            <v>2018</v>
          </cell>
          <cell r="C891">
            <v>13</v>
          </cell>
          <cell r="E891" t="str">
            <v>CLE</v>
          </cell>
          <cell r="I891">
            <v>13</v>
          </cell>
          <cell r="J891">
            <v>29</v>
          </cell>
          <cell r="L891">
            <v>0</v>
          </cell>
        </row>
        <row r="892">
          <cell r="B892">
            <v>2018</v>
          </cell>
          <cell r="C892">
            <v>14</v>
          </cell>
          <cell r="E892" t="str">
            <v>CLE</v>
          </cell>
          <cell r="I892">
            <v>26</v>
          </cell>
          <cell r="J892">
            <v>20</v>
          </cell>
          <cell r="L892">
            <v>0</v>
          </cell>
        </row>
        <row r="893">
          <cell r="B893">
            <v>2018</v>
          </cell>
          <cell r="C893">
            <v>15</v>
          </cell>
          <cell r="E893" t="str">
            <v>CLE</v>
          </cell>
          <cell r="I893">
            <v>17</v>
          </cell>
          <cell r="J893">
            <v>16</v>
          </cell>
          <cell r="L893">
            <v>0</v>
          </cell>
        </row>
        <row r="894">
          <cell r="B894">
            <v>2018</v>
          </cell>
          <cell r="C894">
            <v>16</v>
          </cell>
          <cell r="E894" t="str">
            <v>CLE</v>
          </cell>
          <cell r="I894">
            <v>26</v>
          </cell>
          <cell r="J894">
            <v>18</v>
          </cell>
          <cell r="L894">
            <v>0</v>
          </cell>
        </row>
        <row r="895">
          <cell r="B895">
            <v>2018</v>
          </cell>
          <cell r="C895">
            <v>17</v>
          </cell>
          <cell r="E895" t="str">
            <v>CLE</v>
          </cell>
          <cell r="I895">
            <v>24</v>
          </cell>
          <cell r="J895">
            <v>26</v>
          </cell>
          <cell r="L895">
            <v>0</v>
          </cell>
        </row>
        <row r="896">
          <cell r="B896">
            <v>2019</v>
          </cell>
          <cell r="C896">
            <v>1</v>
          </cell>
          <cell r="E896" t="str">
            <v>CLE</v>
          </cell>
          <cell r="I896">
            <v>13</v>
          </cell>
          <cell r="J896">
            <v>43</v>
          </cell>
          <cell r="L896">
            <v>0</v>
          </cell>
        </row>
        <row r="897">
          <cell r="B897">
            <v>2019</v>
          </cell>
          <cell r="C897">
            <v>2</v>
          </cell>
          <cell r="E897" t="str">
            <v>CLE</v>
          </cell>
          <cell r="I897">
            <v>23</v>
          </cell>
          <cell r="J897">
            <v>3</v>
          </cell>
          <cell r="L897">
            <v>0</v>
          </cell>
        </row>
        <row r="898">
          <cell r="B898">
            <v>2019</v>
          </cell>
          <cell r="C898">
            <v>3</v>
          </cell>
          <cell r="E898" t="str">
            <v>CLE</v>
          </cell>
          <cell r="I898">
            <v>13</v>
          </cell>
          <cell r="J898">
            <v>20</v>
          </cell>
          <cell r="L898">
            <v>0</v>
          </cell>
        </row>
        <row r="899">
          <cell r="B899">
            <v>2019</v>
          </cell>
          <cell r="C899">
            <v>4</v>
          </cell>
          <cell r="E899" t="str">
            <v>CLE</v>
          </cell>
          <cell r="I899">
            <v>40</v>
          </cell>
          <cell r="J899">
            <v>25</v>
          </cell>
          <cell r="L899">
            <v>0</v>
          </cell>
        </row>
        <row r="900">
          <cell r="B900">
            <v>2019</v>
          </cell>
          <cell r="C900">
            <v>5</v>
          </cell>
          <cell r="E900" t="str">
            <v>CLE</v>
          </cell>
          <cell r="I900">
            <v>3</v>
          </cell>
          <cell r="J900">
            <v>31</v>
          </cell>
          <cell r="L900">
            <v>0</v>
          </cell>
        </row>
        <row r="901">
          <cell r="B901">
            <v>2019</v>
          </cell>
          <cell r="C901">
            <v>6</v>
          </cell>
          <cell r="E901" t="str">
            <v>CLE</v>
          </cell>
          <cell r="I901">
            <v>28</v>
          </cell>
          <cell r="J901">
            <v>32</v>
          </cell>
          <cell r="L901">
            <v>0</v>
          </cell>
        </row>
        <row r="902">
          <cell r="B902">
            <v>2019</v>
          </cell>
          <cell r="C902">
            <v>8</v>
          </cell>
          <cell r="E902" t="str">
            <v>CLE</v>
          </cell>
          <cell r="I902">
            <v>13</v>
          </cell>
          <cell r="J902">
            <v>27</v>
          </cell>
          <cell r="L902">
            <v>0</v>
          </cell>
        </row>
        <row r="903">
          <cell r="B903">
            <v>2019</v>
          </cell>
          <cell r="C903">
            <v>9</v>
          </cell>
          <cell r="E903" t="str">
            <v>CLE</v>
          </cell>
          <cell r="I903">
            <v>19</v>
          </cell>
          <cell r="J903">
            <v>24</v>
          </cell>
          <cell r="L903">
            <v>0</v>
          </cell>
        </row>
        <row r="904">
          <cell r="B904">
            <v>2019</v>
          </cell>
          <cell r="C904">
            <v>10</v>
          </cell>
          <cell r="E904" t="str">
            <v>CLE</v>
          </cell>
          <cell r="I904">
            <v>19</v>
          </cell>
          <cell r="J904">
            <v>16</v>
          </cell>
          <cell r="L904">
            <v>0</v>
          </cell>
        </row>
        <row r="905">
          <cell r="B905">
            <v>2019</v>
          </cell>
          <cell r="C905">
            <v>11</v>
          </cell>
          <cell r="E905" t="str">
            <v>CLE</v>
          </cell>
          <cell r="I905">
            <v>21</v>
          </cell>
          <cell r="J905">
            <v>7</v>
          </cell>
          <cell r="L905">
            <v>0</v>
          </cell>
        </row>
        <row r="906">
          <cell r="B906">
            <v>2019</v>
          </cell>
          <cell r="C906">
            <v>12</v>
          </cell>
          <cell r="E906" t="str">
            <v>CLE</v>
          </cell>
          <cell r="I906">
            <v>41</v>
          </cell>
          <cell r="J906">
            <v>24</v>
          </cell>
          <cell r="L906">
            <v>0</v>
          </cell>
        </row>
        <row r="907">
          <cell r="B907">
            <v>2019</v>
          </cell>
          <cell r="C907">
            <v>13</v>
          </cell>
          <cell r="E907" t="str">
            <v>CLE</v>
          </cell>
          <cell r="I907">
            <v>13</v>
          </cell>
          <cell r="J907">
            <v>20</v>
          </cell>
          <cell r="L907">
            <v>0</v>
          </cell>
        </row>
        <row r="908">
          <cell r="B908">
            <v>2019</v>
          </cell>
          <cell r="C908">
            <v>14</v>
          </cell>
          <cell r="E908" t="str">
            <v>CLE</v>
          </cell>
          <cell r="I908">
            <v>27</v>
          </cell>
          <cell r="J908">
            <v>19</v>
          </cell>
          <cell r="L908">
            <v>0</v>
          </cell>
        </row>
        <row r="909">
          <cell r="B909">
            <v>2019</v>
          </cell>
          <cell r="C909">
            <v>15</v>
          </cell>
          <cell r="E909" t="str">
            <v>CLE</v>
          </cell>
          <cell r="I909">
            <v>24</v>
          </cell>
          <cell r="J909">
            <v>38</v>
          </cell>
          <cell r="L909">
            <v>0</v>
          </cell>
        </row>
        <row r="910">
          <cell r="B910">
            <v>2019</v>
          </cell>
          <cell r="C910">
            <v>16</v>
          </cell>
          <cell r="E910" t="str">
            <v>CLE</v>
          </cell>
          <cell r="I910">
            <v>15</v>
          </cell>
          <cell r="J910">
            <v>31</v>
          </cell>
          <cell r="L910">
            <v>0</v>
          </cell>
        </row>
        <row r="911">
          <cell r="B911">
            <v>2019</v>
          </cell>
          <cell r="C911">
            <v>17</v>
          </cell>
          <cell r="E911" t="str">
            <v>CLE</v>
          </cell>
          <cell r="I911">
            <v>23</v>
          </cell>
          <cell r="J911">
            <v>33</v>
          </cell>
          <cell r="L911">
            <v>0</v>
          </cell>
        </row>
        <row r="912">
          <cell r="B912">
            <v>2020</v>
          </cell>
          <cell r="C912">
            <v>1</v>
          </cell>
          <cell r="E912" t="str">
            <v>CLE</v>
          </cell>
          <cell r="I912">
            <v>6</v>
          </cell>
          <cell r="J912">
            <v>38</v>
          </cell>
          <cell r="L912">
            <v>0</v>
          </cell>
        </row>
        <row r="913">
          <cell r="B913">
            <v>2020</v>
          </cell>
          <cell r="C913">
            <v>2</v>
          </cell>
          <cell r="E913" t="str">
            <v>CLE</v>
          </cell>
          <cell r="I913">
            <v>35</v>
          </cell>
          <cell r="J913">
            <v>30</v>
          </cell>
          <cell r="L913">
            <v>0</v>
          </cell>
        </row>
        <row r="914">
          <cell r="B914">
            <v>2020</v>
          </cell>
          <cell r="C914">
            <v>3</v>
          </cell>
          <cell r="E914" t="str">
            <v>CLE</v>
          </cell>
          <cell r="I914">
            <v>34</v>
          </cell>
          <cell r="J914">
            <v>20</v>
          </cell>
          <cell r="L914">
            <v>0</v>
          </cell>
        </row>
        <row r="915">
          <cell r="B915">
            <v>2020</v>
          </cell>
          <cell r="C915">
            <v>4</v>
          </cell>
          <cell r="E915" t="str">
            <v>CLE</v>
          </cell>
          <cell r="I915">
            <v>49</v>
          </cell>
          <cell r="J915">
            <v>38</v>
          </cell>
          <cell r="L915">
            <v>0</v>
          </cell>
        </row>
        <row r="916">
          <cell r="B916">
            <v>2020</v>
          </cell>
          <cell r="C916">
            <v>5</v>
          </cell>
          <cell r="E916" t="str">
            <v>CLE</v>
          </cell>
          <cell r="I916">
            <v>32</v>
          </cell>
          <cell r="J916">
            <v>23</v>
          </cell>
          <cell r="L916">
            <v>0</v>
          </cell>
        </row>
        <row r="917">
          <cell r="B917">
            <v>2020</v>
          </cell>
          <cell r="C917">
            <v>6</v>
          </cell>
          <cell r="E917" t="str">
            <v>CLE</v>
          </cell>
          <cell r="I917">
            <v>7</v>
          </cell>
          <cell r="J917">
            <v>38</v>
          </cell>
          <cell r="L917">
            <v>0</v>
          </cell>
        </row>
        <row r="918">
          <cell r="B918">
            <v>2020</v>
          </cell>
          <cell r="C918">
            <v>7</v>
          </cell>
          <cell r="E918" t="str">
            <v>CLE</v>
          </cell>
          <cell r="I918">
            <v>37</v>
          </cell>
          <cell r="J918">
            <v>34</v>
          </cell>
          <cell r="L918">
            <v>0</v>
          </cell>
        </row>
        <row r="919">
          <cell r="B919">
            <v>2020</v>
          </cell>
          <cell r="C919">
            <v>8</v>
          </cell>
          <cell r="E919" t="str">
            <v>CLE</v>
          </cell>
          <cell r="I919">
            <v>6</v>
          </cell>
          <cell r="J919">
            <v>16</v>
          </cell>
          <cell r="L919">
            <v>0</v>
          </cell>
        </row>
        <row r="920">
          <cell r="B920">
            <v>2020</v>
          </cell>
          <cell r="C920">
            <v>10</v>
          </cell>
          <cell r="E920" t="str">
            <v>CLE</v>
          </cell>
          <cell r="I920">
            <v>10</v>
          </cell>
          <cell r="J920">
            <v>7</v>
          </cell>
          <cell r="L920">
            <v>0</v>
          </cell>
        </row>
        <row r="921">
          <cell r="B921">
            <v>2020</v>
          </cell>
          <cell r="C921">
            <v>11</v>
          </cell>
          <cell r="E921" t="str">
            <v>CLE</v>
          </cell>
          <cell r="I921">
            <v>22</v>
          </cell>
          <cell r="J921">
            <v>17</v>
          </cell>
          <cell r="L921">
            <v>0</v>
          </cell>
        </row>
        <row r="922">
          <cell r="B922">
            <v>2020</v>
          </cell>
          <cell r="C922">
            <v>12</v>
          </cell>
          <cell r="E922" t="str">
            <v>CLE</v>
          </cell>
          <cell r="I922">
            <v>27</v>
          </cell>
          <cell r="J922">
            <v>25</v>
          </cell>
          <cell r="L922">
            <v>0</v>
          </cell>
        </row>
        <row r="923">
          <cell r="B923">
            <v>2020</v>
          </cell>
          <cell r="C923">
            <v>13</v>
          </cell>
          <cell r="E923" t="str">
            <v>CLE</v>
          </cell>
          <cell r="I923">
            <v>41</v>
          </cell>
          <cell r="J923">
            <v>35</v>
          </cell>
          <cell r="L923">
            <v>0</v>
          </cell>
        </row>
        <row r="924">
          <cell r="B924">
            <v>2020</v>
          </cell>
          <cell r="C924">
            <v>14</v>
          </cell>
          <cell r="E924" t="str">
            <v>CLE</v>
          </cell>
          <cell r="I924">
            <v>42</v>
          </cell>
          <cell r="J924">
            <v>47</v>
          </cell>
          <cell r="L924">
            <v>0</v>
          </cell>
        </row>
        <row r="925">
          <cell r="B925">
            <v>2020</v>
          </cell>
          <cell r="C925">
            <v>15</v>
          </cell>
          <cell r="E925" t="str">
            <v>CLE</v>
          </cell>
          <cell r="I925">
            <v>20</v>
          </cell>
          <cell r="J925">
            <v>6</v>
          </cell>
          <cell r="L925">
            <v>0</v>
          </cell>
        </row>
        <row r="926">
          <cell r="B926">
            <v>2020</v>
          </cell>
          <cell r="C926">
            <v>16</v>
          </cell>
          <cell r="E926" t="str">
            <v>CLE</v>
          </cell>
          <cell r="I926">
            <v>16</v>
          </cell>
          <cell r="J926">
            <v>23</v>
          </cell>
          <cell r="L926">
            <v>0</v>
          </cell>
        </row>
        <row r="927">
          <cell r="B927">
            <v>2020</v>
          </cell>
          <cell r="C927">
            <v>17</v>
          </cell>
          <cell r="E927" t="str">
            <v>CLE</v>
          </cell>
          <cell r="I927">
            <v>24</v>
          </cell>
          <cell r="J927">
            <v>22</v>
          </cell>
          <cell r="L927">
            <v>0</v>
          </cell>
        </row>
        <row r="928">
          <cell r="B928">
            <v>2020</v>
          </cell>
          <cell r="C928">
            <v>1</v>
          </cell>
          <cell r="E928" t="str">
            <v>CLE</v>
          </cell>
          <cell r="I928">
            <v>48</v>
          </cell>
          <cell r="J928">
            <v>37</v>
          </cell>
          <cell r="L928">
            <v>1</v>
          </cell>
        </row>
        <row r="929">
          <cell r="B929">
            <v>2020</v>
          </cell>
          <cell r="C929">
            <v>2</v>
          </cell>
          <cell r="E929" t="str">
            <v>CLE</v>
          </cell>
          <cell r="I929">
            <v>17</v>
          </cell>
          <cell r="J929">
            <v>22</v>
          </cell>
          <cell r="L929">
            <v>1</v>
          </cell>
        </row>
        <row r="930">
          <cell r="B930">
            <v>2021</v>
          </cell>
          <cell r="C930">
            <v>1</v>
          </cell>
          <cell r="E930" t="str">
            <v>CLE</v>
          </cell>
          <cell r="I930">
            <v>29</v>
          </cell>
          <cell r="J930">
            <v>33</v>
          </cell>
          <cell r="L930">
            <v>0</v>
          </cell>
        </row>
        <row r="931">
          <cell r="B931">
            <v>2021</v>
          </cell>
          <cell r="C931">
            <v>2</v>
          </cell>
          <cell r="E931" t="str">
            <v>CLE</v>
          </cell>
          <cell r="I931">
            <v>31</v>
          </cell>
          <cell r="J931">
            <v>21</v>
          </cell>
          <cell r="L931">
            <v>0</v>
          </cell>
        </row>
        <row r="932">
          <cell r="B932">
            <v>2021</v>
          </cell>
          <cell r="C932">
            <v>3</v>
          </cell>
          <cell r="E932" t="str">
            <v>CLE</v>
          </cell>
          <cell r="I932">
            <v>26</v>
          </cell>
          <cell r="J932">
            <v>6</v>
          </cell>
          <cell r="L932">
            <v>0</v>
          </cell>
        </row>
        <row r="933">
          <cell r="B933">
            <v>2021</v>
          </cell>
          <cell r="C933">
            <v>4</v>
          </cell>
          <cell r="E933" t="str">
            <v>CLE</v>
          </cell>
          <cell r="I933">
            <v>14</v>
          </cell>
          <cell r="J933">
            <v>7</v>
          </cell>
          <cell r="L933">
            <v>0</v>
          </cell>
        </row>
        <row r="934">
          <cell r="B934">
            <v>2021</v>
          </cell>
          <cell r="C934">
            <v>5</v>
          </cell>
          <cell r="E934" t="str">
            <v>CLE</v>
          </cell>
          <cell r="I934">
            <v>42</v>
          </cell>
          <cell r="J934">
            <v>47</v>
          </cell>
          <cell r="L934">
            <v>0</v>
          </cell>
        </row>
        <row r="935">
          <cell r="B935">
            <v>2021</v>
          </cell>
          <cell r="C935">
            <v>6</v>
          </cell>
          <cell r="E935" t="str">
            <v>CLE</v>
          </cell>
          <cell r="I935">
            <v>14</v>
          </cell>
          <cell r="J935">
            <v>37</v>
          </cell>
          <cell r="L935">
            <v>0</v>
          </cell>
        </row>
        <row r="936">
          <cell r="B936">
            <v>2021</v>
          </cell>
          <cell r="C936">
            <v>7</v>
          </cell>
          <cell r="E936" t="str">
            <v>CLE</v>
          </cell>
          <cell r="I936">
            <v>17</v>
          </cell>
          <cell r="J936">
            <v>14</v>
          </cell>
          <cell r="L936">
            <v>0</v>
          </cell>
        </row>
        <row r="937">
          <cell r="B937">
            <v>2021</v>
          </cell>
          <cell r="C937">
            <v>8</v>
          </cell>
          <cell r="E937" t="str">
            <v>CLE</v>
          </cell>
          <cell r="I937">
            <v>10</v>
          </cell>
          <cell r="J937">
            <v>15</v>
          </cell>
          <cell r="L937">
            <v>0</v>
          </cell>
        </row>
        <row r="938">
          <cell r="B938">
            <v>2021</v>
          </cell>
          <cell r="C938">
            <v>9</v>
          </cell>
          <cell r="E938" t="str">
            <v>CLE</v>
          </cell>
          <cell r="I938">
            <v>41</v>
          </cell>
          <cell r="J938">
            <v>16</v>
          </cell>
          <cell r="L938">
            <v>0</v>
          </cell>
        </row>
        <row r="939">
          <cell r="B939">
            <v>2021</v>
          </cell>
          <cell r="C939">
            <v>10</v>
          </cell>
          <cell r="E939" t="str">
            <v>CLE</v>
          </cell>
          <cell r="I939">
            <v>7</v>
          </cell>
          <cell r="J939">
            <v>45</v>
          </cell>
          <cell r="L939">
            <v>0</v>
          </cell>
        </row>
        <row r="940">
          <cell r="B940">
            <v>2021</v>
          </cell>
          <cell r="C940">
            <v>11</v>
          </cell>
          <cell r="E940" t="str">
            <v>CLE</v>
          </cell>
          <cell r="I940">
            <v>13</v>
          </cell>
          <cell r="J940">
            <v>10</v>
          </cell>
          <cell r="L940">
            <v>0</v>
          </cell>
        </row>
        <row r="941">
          <cell r="B941">
            <v>2021</v>
          </cell>
          <cell r="C941">
            <v>12</v>
          </cell>
          <cell r="E941" t="str">
            <v>CLE</v>
          </cell>
          <cell r="I941">
            <v>10</v>
          </cell>
          <cell r="J941">
            <v>16</v>
          </cell>
          <cell r="L941">
            <v>0</v>
          </cell>
        </row>
        <row r="942">
          <cell r="B942">
            <v>2021</v>
          </cell>
          <cell r="C942">
            <v>14</v>
          </cell>
          <cell r="E942" t="str">
            <v>CLE</v>
          </cell>
          <cell r="I942">
            <v>24</v>
          </cell>
          <cell r="J942">
            <v>22</v>
          </cell>
          <cell r="L942">
            <v>0</v>
          </cell>
        </row>
        <row r="943">
          <cell r="B943">
            <v>2021</v>
          </cell>
          <cell r="C943">
            <v>15</v>
          </cell>
          <cell r="E943" t="str">
            <v>CLE</v>
          </cell>
          <cell r="I943">
            <v>14</v>
          </cell>
          <cell r="J943">
            <v>16</v>
          </cell>
          <cell r="L943">
            <v>0</v>
          </cell>
        </row>
        <row r="944">
          <cell r="B944">
            <v>2021</v>
          </cell>
          <cell r="C944">
            <v>16</v>
          </cell>
          <cell r="E944" t="str">
            <v>CLE</v>
          </cell>
          <cell r="I944">
            <v>22</v>
          </cell>
          <cell r="J944">
            <v>24</v>
          </cell>
          <cell r="L944">
            <v>0</v>
          </cell>
        </row>
        <row r="945">
          <cell r="B945">
            <v>2021</v>
          </cell>
          <cell r="C945">
            <v>17</v>
          </cell>
          <cell r="E945" t="str">
            <v>CLE</v>
          </cell>
          <cell r="I945">
            <v>14</v>
          </cell>
          <cell r="J945">
            <v>26</v>
          </cell>
          <cell r="L945">
            <v>0</v>
          </cell>
        </row>
        <row r="946">
          <cell r="B946">
            <v>2021</v>
          </cell>
          <cell r="C946">
            <v>18</v>
          </cell>
          <cell r="E946" t="str">
            <v>CLE</v>
          </cell>
          <cell r="I946">
            <v>21</v>
          </cell>
          <cell r="J946">
            <v>16</v>
          </cell>
          <cell r="L946">
            <v>0</v>
          </cell>
        </row>
        <row r="947">
          <cell r="B947">
            <v>2022</v>
          </cell>
          <cell r="C947">
            <v>1</v>
          </cell>
          <cell r="E947" t="str">
            <v>CLE</v>
          </cell>
          <cell r="I947">
            <v>26</v>
          </cell>
          <cell r="J947">
            <v>24</v>
          </cell>
          <cell r="L947">
            <v>0</v>
          </cell>
        </row>
        <row r="948">
          <cell r="B948">
            <v>2022</v>
          </cell>
          <cell r="C948">
            <v>2</v>
          </cell>
          <cell r="E948" t="str">
            <v>CLE</v>
          </cell>
          <cell r="I948">
            <v>30</v>
          </cell>
          <cell r="J948">
            <v>31</v>
          </cell>
          <cell r="L948">
            <v>0</v>
          </cell>
        </row>
        <row r="949">
          <cell r="B949">
            <v>2022</v>
          </cell>
          <cell r="C949">
            <v>3</v>
          </cell>
          <cell r="E949" t="str">
            <v>CLE</v>
          </cell>
          <cell r="I949">
            <v>29</v>
          </cell>
          <cell r="J949">
            <v>17</v>
          </cell>
          <cell r="L949">
            <v>0</v>
          </cell>
        </row>
        <row r="950">
          <cell r="B950">
            <v>2022</v>
          </cell>
          <cell r="C950">
            <v>4</v>
          </cell>
          <cell r="E950" t="str">
            <v>CLE</v>
          </cell>
          <cell r="I950">
            <v>20</v>
          </cell>
          <cell r="J950">
            <v>23</v>
          </cell>
          <cell r="L950">
            <v>0</v>
          </cell>
        </row>
        <row r="951">
          <cell r="B951">
            <v>2022</v>
          </cell>
          <cell r="C951">
            <v>5</v>
          </cell>
          <cell r="E951" t="str">
            <v>CLE</v>
          </cell>
          <cell r="I951">
            <v>28</v>
          </cell>
          <cell r="J951">
            <v>30</v>
          </cell>
          <cell r="L951">
            <v>0</v>
          </cell>
        </row>
        <row r="952">
          <cell r="B952">
            <v>2022</v>
          </cell>
          <cell r="C952">
            <v>6</v>
          </cell>
          <cell r="E952" t="str">
            <v>CLE</v>
          </cell>
          <cell r="I952">
            <v>15</v>
          </cell>
          <cell r="J952">
            <v>38</v>
          </cell>
          <cell r="L952">
            <v>0</v>
          </cell>
        </row>
        <row r="953">
          <cell r="B953">
            <v>2022</v>
          </cell>
          <cell r="C953">
            <v>7</v>
          </cell>
          <cell r="E953" t="str">
            <v>CLE</v>
          </cell>
          <cell r="I953">
            <v>20</v>
          </cell>
          <cell r="J953">
            <v>23</v>
          </cell>
          <cell r="L953">
            <v>0</v>
          </cell>
        </row>
        <row r="954">
          <cell r="B954">
            <v>2022</v>
          </cell>
          <cell r="C954">
            <v>8</v>
          </cell>
          <cell r="E954" t="str">
            <v>CLE</v>
          </cell>
          <cell r="I954">
            <v>32</v>
          </cell>
          <cell r="J954">
            <v>13</v>
          </cell>
          <cell r="L954">
            <v>0</v>
          </cell>
        </row>
        <row r="955">
          <cell r="B955">
            <v>2022</v>
          </cell>
          <cell r="C955">
            <v>10</v>
          </cell>
          <cell r="E955" t="str">
            <v>CLE</v>
          </cell>
          <cell r="I955">
            <v>17</v>
          </cell>
          <cell r="J955">
            <v>39</v>
          </cell>
          <cell r="L955">
            <v>0</v>
          </cell>
        </row>
        <row r="956">
          <cell r="B956">
            <v>2022</v>
          </cell>
          <cell r="C956">
            <v>11</v>
          </cell>
          <cell r="E956" t="str">
            <v>CLE</v>
          </cell>
          <cell r="I956">
            <v>23</v>
          </cell>
          <cell r="J956">
            <v>31</v>
          </cell>
          <cell r="L956">
            <v>0</v>
          </cell>
        </row>
        <row r="957">
          <cell r="B957">
            <v>2022</v>
          </cell>
          <cell r="C957">
            <v>12</v>
          </cell>
          <cell r="E957" t="str">
            <v>CLE</v>
          </cell>
          <cell r="I957">
            <v>23</v>
          </cell>
          <cell r="J957">
            <v>17</v>
          </cell>
          <cell r="L957">
            <v>0</v>
          </cell>
        </row>
        <row r="958">
          <cell r="B958">
            <v>2022</v>
          </cell>
          <cell r="C958">
            <v>13</v>
          </cell>
          <cell r="E958" t="str">
            <v>CLE</v>
          </cell>
          <cell r="I958">
            <v>27</v>
          </cell>
          <cell r="J958">
            <v>14</v>
          </cell>
          <cell r="L958">
            <v>0</v>
          </cell>
        </row>
        <row r="959">
          <cell r="B959">
            <v>2022</v>
          </cell>
          <cell r="C959">
            <v>14</v>
          </cell>
          <cell r="E959" t="str">
            <v>CLE</v>
          </cell>
          <cell r="I959">
            <v>10</v>
          </cell>
          <cell r="J959">
            <v>23</v>
          </cell>
          <cell r="L959">
            <v>0</v>
          </cell>
        </row>
        <row r="960">
          <cell r="B960">
            <v>2022</v>
          </cell>
          <cell r="C960">
            <v>15</v>
          </cell>
          <cell r="E960" t="str">
            <v>CLE</v>
          </cell>
          <cell r="I960">
            <v>13</v>
          </cell>
          <cell r="J960">
            <v>3</v>
          </cell>
          <cell r="L960">
            <v>0</v>
          </cell>
        </row>
        <row r="961">
          <cell r="B961">
            <v>2022</v>
          </cell>
          <cell r="C961">
            <v>16</v>
          </cell>
          <cell r="E961" t="str">
            <v>CLE</v>
          </cell>
          <cell r="I961">
            <v>10</v>
          </cell>
          <cell r="J961">
            <v>17</v>
          </cell>
          <cell r="L961">
            <v>0</v>
          </cell>
        </row>
        <row r="962">
          <cell r="B962">
            <v>2022</v>
          </cell>
          <cell r="C962">
            <v>17</v>
          </cell>
          <cell r="E962" t="str">
            <v>CLE</v>
          </cell>
          <cell r="I962">
            <v>24</v>
          </cell>
          <cell r="J962">
            <v>10</v>
          </cell>
          <cell r="L962">
            <v>0</v>
          </cell>
        </row>
        <row r="963">
          <cell r="B963">
            <v>2022</v>
          </cell>
          <cell r="C963">
            <v>18</v>
          </cell>
          <cell r="E963" t="str">
            <v>CLE</v>
          </cell>
          <cell r="I963">
            <v>14</v>
          </cell>
          <cell r="J963">
            <v>28</v>
          </cell>
          <cell r="L963">
            <v>0</v>
          </cell>
        </row>
        <row r="964">
          <cell r="B964">
            <v>2023</v>
          </cell>
          <cell r="C964">
            <v>1</v>
          </cell>
          <cell r="E964" t="str">
            <v>CLE</v>
          </cell>
          <cell r="I964">
            <v>24</v>
          </cell>
          <cell r="J964">
            <v>3</v>
          </cell>
          <cell r="L964">
            <v>0</v>
          </cell>
        </row>
        <row r="965">
          <cell r="B965">
            <v>2023</v>
          </cell>
          <cell r="C965">
            <v>2</v>
          </cell>
          <cell r="E965" t="str">
            <v>CLE</v>
          </cell>
          <cell r="I965">
            <v>22</v>
          </cell>
          <cell r="J965">
            <v>26</v>
          </cell>
          <cell r="L965">
            <v>0</v>
          </cell>
        </row>
        <row r="966">
          <cell r="B966">
            <v>2023</v>
          </cell>
          <cell r="C966">
            <v>3</v>
          </cell>
          <cell r="E966" t="str">
            <v>CLE</v>
          </cell>
          <cell r="I966">
            <v>27</v>
          </cell>
          <cell r="J966">
            <v>3</v>
          </cell>
          <cell r="L966">
            <v>0</v>
          </cell>
        </row>
        <row r="967">
          <cell r="B967">
            <v>2023</v>
          </cell>
          <cell r="C967">
            <v>4</v>
          </cell>
          <cell r="E967" t="str">
            <v>CLE</v>
          </cell>
          <cell r="I967">
            <v>3</v>
          </cell>
          <cell r="J967">
            <v>28</v>
          </cell>
          <cell r="L967">
            <v>0</v>
          </cell>
        </row>
        <row r="968">
          <cell r="B968">
            <v>2023</v>
          </cell>
          <cell r="C968">
            <v>6</v>
          </cell>
          <cell r="E968" t="str">
            <v>CLE</v>
          </cell>
          <cell r="I968">
            <v>19</v>
          </cell>
          <cell r="J968">
            <v>17</v>
          </cell>
          <cell r="L968">
            <v>0</v>
          </cell>
        </row>
        <row r="969">
          <cell r="B969">
            <v>2023</v>
          </cell>
          <cell r="C969">
            <v>7</v>
          </cell>
          <cell r="E969" t="str">
            <v>CLE</v>
          </cell>
          <cell r="I969">
            <v>39</v>
          </cell>
          <cell r="J969">
            <v>38</v>
          </cell>
          <cell r="L969">
            <v>0</v>
          </cell>
        </row>
        <row r="970">
          <cell r="B970">
            <v>2023</v>
          </cell>
          <cell r="C970">
            <v>8</v>
          </cell>
          <cell r="E970" t="str">
            <v>CLE</v>
          </cell>
          <cell r="I970">
            <v>20</v>
          </cell>
          <cell r="J970">
            <v>24</v>
          </cell>
          <cell r="L970">
            <v>0</v>
          </cell>
        </row>
        <row r="971">
          <cell r="B971">
            <v>2023</v>
          </cell>
          <cell r="C971">
            <v>9</v>
          </cell>
          <cell r="E971" t="str">
            <v>CLE</v>
          </cell>
          <cell r="I971">
            <v>27</v>
          </cell>
          <cell r="J971">
            <v>0</v>
          </cell>
          <cell r="L971">
            <v>0</v>
          </cell>
        </row>
        <row r="972">
          <cell r="B972">
            <v>2023</v>
          </cell>
          <cell r="C972">
            <v>10</v>
          </cell>
          <cell r="E972" t="str">
            <v>CLE</v>
          </cell>
          <cell r="I972">
            <v>33</v>
          </cell>
          <cell r="J972">
            <v>31</v>
          </cell>
          <cell r="L972">
            <v>0</v>
          </cell>
        </row>
        <row r="973">
          <cell r="B973">
            <v>2023</v>
          </cell>
          <cell r="C973">
            <v>11</v>
          </cell>
          <cell r="E973" t="str">
            <v>CLE</v>
          </cell>
          <cell r="I973">
            <v>13</v>
          </cell>
          <cell r="J973">
            <v>10</v>
          </cell>
          <cell r="L973">
            <v>0</v>
          </cell>
        </row>
        <row r="974">
          <cell r="B974">
            <v>2023</v>
          </cell>
          <cell r="C974">
            <v>12</v>
          </cell>
          <cell r="E974" t="str">
            <v>CLE</v>
          </cell>
          <cell r="I974">
            <v>12</v>
          </cell>
          <cell r="J974">
            <v>29</v>
          </cell>
          <cell r="L974">
            <v>0</v>
          </cell>
        </row>
        <row r="975">
          <cell r="B975">
            <v>2023</v>
          </cell>
          <cell r="C975">
            <v>13</v>
          </cell>
          <cell r="E975" t="str">
            <v>CLE</v>
          </cell>
          <cell r="I975">
            <v>19</v>
          </cell>
          <cell r="J975">
            <v>36</v>
          </cell>
          <cell r="L975">
            <v>0</v>
          </cell>
        </row>
        <row r="976">
          <cell r="B976">
            <v>2023</v>
          </cell>
          <cell r="C976">
            <v>14</v>
          </cell>
          <cell r="E976" t="str">
            <v>CLE</v>
          </cell>
          <cell r="I976">
            <v>31</v>
          </cell>
          <cell r="J976">
            <v>27</v>
          </cell>
          <cell r="L976">
            <v>0</v>
          </cell>
        </row>
        <row r="977">
          <cell r="B977">
            <v>2023</v>
          </cell>
          <cell r="C977">
            <v>15</v>
          </cell>
          <cell r="E977" t="str">
            <v>CLE</v>
          </cell>
          <cell r="I977">
            <v>20</v>
          </cell>
          <cell r="J977">
            <v>17</v>
          </cell>
          <cell r="L977">
            <v>0</v>
          </cell>
        </row>
        <row r="978">
          <cell r="B978">
            <v>2023</v>
          </cell>
          <cell r="C978">
            <v>16</v>
          </cell>
          <cell r="E978" t="str">
            <v>CLE</v>
          </cell>
          <cell r="I978">
            <v>36</v>
          </cell>
          <cell r="J978">
            <v>22</v>
          </cell>
          <cell r="L978">
            <v>0</v>
          </cell>
        </row>
        <row r="979">
          <cell r="B979">
            <v>2023</v>
          </cell>
          <cell r="C979">
            <v>17</v>
          </cell>
          <cell r="E979" t="str">
            <v>CLE</v>
          </cell>
          <cell r="I979">
            <v>37</v>
          </cell>
          <cell r="J979">
            <v>20</v>
          </cell>
          <cell r="L979">
            <v>0</v>
          </cell>
        </row>
        <row r="980">
          <cell r="B980">
            <v>2023</v>
          </cell>
          <cell r="C980">
            <v>18</v>
          </cell>
          <cell r="E980" t="str">
            <v>CLE</v>
          </cell>
          <cell r="I980">
            <v>14</v>
          </cell>
          <cell r="J980">
            <v>31</v>
          </cell>
          <cell r="L980">
            <v>0</v>
          </cell>
        </row>
        <row r="981">
          <cell r="B981">
            <v>2023</v>
          </cell>
          <cell r="C981">
            <v>1</v>
          </cell>
          <cell r="E981" t="str">
            <v>CLE</v>
          </cell>
          <cell r="I981">
            <v>14</v>
          </cell>
          <cell r="J981">
            <v>45</v>
          </cell>
          <cell r="L981">
            <v>1</v>
          </cell>
        </row>
        <row r="982">
          <cell r="B982">
            <v>2024</v>
          </cell>
          <cell r="C982">
            <v>1</v>
          </cell>
          <cell r="E982" t="str">
            <v>CLE</v>
          </cell>
          <cell r="I982">
            <v>17</v>
          </cell>
          <cell r="J982">
            <v>33</v>
          </cell>
          <cell r="L982">
            <v>0</v>
          </cell>
        </row>
        <row r="983">
          <cell r="B983">
            <v>2024</v>
          </cell>
          <cell r="C983">
            <v>2</v>
          </cell>
          <cell r="E983" t="str">
            <v>CLE</v>
          </cell>
          <cell r="I983">
            <v>18</v>
          </cell>
          <cell r="J983">
            <v>13</v>
          </cell>
          <cell r="L983">
            <v>0</v>
          </cell>
        </row>
        <row r="984">
          <cell r="B984">
            <v>2024</v>
          </cell>
          <cell r="C984">
            <v>3</v>
          </cell>
          <cell r="E984" t="str">
            <v>CLE</v>
          </cell>
          <cell r="I984">
            <v>15</v>
          </cell>
          <cell r="J984">
            <v>21</v>
          </cell>
          <cell r="L984">
            <v>0</v>
          </cell>
        </row>
        <row r="985">
          <cell r="B985">
            <v>2024</v>
          </cell>
          <cell r="C985">
            <v>4</v>
          </cell>
          <cell r="E985" t="str">
            <v>CLE</v>
          </cell>
          <cell r="I985">
            <v>16</v>
          </cell>
          <cell r="J985">
            <v>20</v>
          </cell>
          <cell r="L985">
            <v>0</v>
          </cell>
        </row>
        <row r="986">
          <cell r="B986">
            <v>2024</v>
          </cell>
          <cell r="C986">
            <v>5</v>
          </cell>
          <cell r="E986" t="str">
            <v>CLE</v>
          </cell>
          <cell r="I986">
            <v>13</v>
          </cell>
          <cell r="J986">
            <v>34</v>
          </cell>
          <cell r="L986">
            <v>0</v>
          </cell>
        </row>
        <row r="987">
          <cell r="B987">
            <v>2024</v>
          </cell>
          <cell r="C987">
            <v>6</v>
          </cell>
          <cell r="E987" t="str">
            <v>CLE</v>
          </cell>
          <cell r="I987">
            <v>16</v>
          </cell>
          <cell r="J987">
            <v>20</v>
          </cell>
          <cell r="L987">
            <v>0</v>
          </cell>
        </row>
        <row r="988">
          <cell r="B988">
            <v>2024</v>
          </cell>
          <cell r="C988">
            <v>7</v>
          </cell>
          <cell r="E988" t="str">
            <v>CLE</v>
          </cell>
          <cell r="I988">
            <v>14</v>
          </cell>
          <cell r="J988">
            <v>21</v>
          </cell>
          <cell r="L988">
            <v>0</v>
          </cell>
        </row>
        <row r="989">
          <cell r="B989">
            <v>2024</v>
          </cell>
          <cell r="C989">
            <v>8</v>
          </cell>
          <cell r="E989" t="str">
            <v>CLE</v>
          </cell>
          <cell r="I989">
            <v>29</v>
          </cell>
          <cell r="J989">
            <v>24</v>
          </cell>
          <cell r="L989">
            <v>0</v>
          </cell>
        </row>
        <row r="990">
          <cell r="B990">
            <v>2024</v>
          </cell>
          <cell r="C990">
            <v>9</v>
          </cell>
          <cell r="E990" t="str">
            <v>CLE</v>
          </cell>
          <cell r="I990">
            <v>10</v>
          </cell>
          <cell r="J990">
            <v>27</v>
          </cell>
          <cell r="L990">
            <v>0</v>
          </cell>
        </row>
        <row r="991">
          <cell r="B991">
            <v>2024</v>
          </cell>
          <cell r="C991">
            <v>11</v>
          </cell>
          <cell r="E991" t="str">
            <v>CLE</v>
          </cell>
          <cell r="I991">
            <v>14</v>
          </cell>
          <cell r="J991">
            <v>35</v>
          </cell>
          <cell r="L991">
            <v>0</v>
          </cell>
        </row>
        <row r="992">
          <cell r="B992">
            <v>2024</v>
          </cell>
          <cell r="C992">
            <v>12</v>
          </cell>
          <cell r="E992" t="str">
            <v>CLE</v>
          </cell>
          <cell r="I992">
            <v>24</v>
          </cell>
          <cell r="J992">
            <v>19</v>
          </cell>
          <cell r="L992">
            <v>0</v>
          </cell>
        </row>
        <row r="993">
          <cell r="B993">
            <v>2024</v>
          </cell>
          <cell r="C993">
            <v>13</v>
          </cell>
          <cell r="E993" t="str">
            <v>CLE</v>
          </cell>
          <cell r="I993">
            <v>32</v>
          </cell>
          <cell r="J993">
            <v>41</v>
          </cell>
          <cell r="L993">
            <v>0</v>
          </cell>
        </row>
        <row r="994">
          <cell r="B994">
            <v>2024</v>
          </cell>
          <cell r="C994">
            <v>14</v>
          </cell>
          <cell r="E994" t="str">
            <v>CLE</v>
          </cell>
          <cell r="I994">
            <v>14</v>
          </cell>
          <cell r="J994">
            <v>27</v>
          </cell>
          <cell r="L994">
            <v>0</v>
          </cell>
        </row>
        <row r="995">
          <cell r="B995">
            <v>2024</v>
          </cell>
          <cell r="C995">
            <v>15</v>
          </cell>
          <cell r="E995" t="str">
            <v>CLE</v>
          </cell>
          <cell r="I995">
            <v>7</v>
          </cell>
          <cell r="J995">
            <v>21</v>
          </cell>
          <cell r="L995">
            <v>0</v>
          </cell>
        </row>
        <row r="996">
          <cell r="B996">
            <v>2024</v>
          </cell>
          <cell r="C996">
            <v>16</v>
          </cell>
          <cell r="E996" t="str">
            <v>CLE</v>
          </cell>
          <cell r="I996">
            <v>6</v>
          </cell>
          <cell r="J996">
            <v>24</v>
          </cell>
          <cell r="L996">
            <v>0</v>
          </cell>
        </row>
        <row r="997">
          <cell r="B997">
            <v>2024</v>
          </cell>
          <cell r="C997">
            <v>17</v>
          </cell>
          <cell r="E997" t="str">
            <v>CLE</v>
          </cell>
          <cell r="I997">
            <v>3</v>
          </cell>
          <cell r="J997">
            <v>20</v>
          </cell>
          <cell r="L997">
            <v>0</v>
          </cell>
        </row>
        <row r="998">
          <cell r="B998">
            <v>2024</v>
          </cell>
          <cell r="C998">
            <v>18</v>
          </cell>
          <cell r="E998" t="str">
            <v>CLE</v>
          </cell>
          <cell r="I998">
            <v>10</v>
          </cell>
          <cell r="J998">
            <v>35</v>
          </cell>
          <cell r="L998">
            <v>0</v>
          </cell>
        </row>
        <row r="999">
          <cell r="B999">
            <v>2025</v>
          </cell>
          <cell r="C999">
            <v>1</v>
          </cell>
          <cell r="E999" t="str">
            <v>CLE</v>
          </cell>
          <cell r="I999">
            <v>16</v>
          </cell>
          <cell r="J999">
            <v>17</v>
          </cell>
          <cell r="L999">
            <v>0</v>
          </cell>
        </row>
        <row r="1000">
          <cell r="B1000">
            <v>2025</v>
          </cell>
          <cell r="C1000">
            <v>2</v>
          </cell>
          <cell r="E1000" t="str">
            <v>CLE</v>
          </cell>
          <cell r="I1000">
            <v>17</v>
          </cell>
          <cell r="J1000">
            <v>41</v>
          </cell>
          <cell r="L1000">
            <v>0</v>
          </cell>
        </row>
        <row r="1001">
          <cell r="B1001">
            <v>2025</v>
          </cell>
          <cell r="C1001">
            <v>3</v>
          </cell>
          <cell r="E1001" t="str">
            <v>CLE</v>
          </cell>
          <cell r="I1001">
            <v>13</v>
          </cell>
          <cell r="J1001">
            <v>10</v>
          </cell>
          <cell r="L1001">
            <v>0</v>
          </cell>
        </row>
        <row r="1002">
          <cell r="B1002">
            <v>2025</v>
          </cell>
          <cell r="C1002">
            <v>4</v>
          </cell>
          <cell r="E1002" t="str">
            <v>CLE</v>
          </cell>
          <cell r="I1002">
            <v>10</v>
          </cell>
          <cell r="J1002">
            <v>34</v>
          </cell>
          <cell r="L1002">
            <v>0</v>
          </cell>
        </row>
        <row r="1003">
          <cell r="B1003">
            <v>2025</v>
          </cell>
          <cell r="C1003">
            <v>5</v>
          </cell>
          <cell r="E1003" t="str">
            <v>CLE</v>
          </cell>
          <cell r="I1003">
            <v>17</v>
          </cell>
          <cell r="J1003">
            <v>21</v>
          </cell>
          <cell r="L1003">
            <v>0</v>
          </cell>
        </row>
        <row r="1004">
          <cell r="B1004">
            <v>2025</v>
          </cell>
          <cell r="C1004">
            <v>6</v>
          </cell>
          <cell r="E1004" t="str">
            <v>CLE</v>
          </cell>
          <cell r="I1004">
            <v>9</v>
          </cell>
          <cell r="J1004">
            <v>23</v>
          </cell>
          <cell r="L1004">
            <v>0</v>
          </cell>
        </row>
        <row r="1005">
          <cell r="B1005">
            <v>2025</v>
          </cell>
          <cell r="C1005">
            <v>7</v>
          </cell>
          <cell r="E1005" t="str">
            <v>CLE</v>
          </cell>
          <cell r="I1005">
            <v>31</v>
          </cell>
          <cell r="J1005">
            <v>6</v>
          </cell>
          <cell r="L1005">
            <v>0</v>
          </cell>
        </row>
        <row r="1006">
          <cell r="B1006">
            <v>2025</v>
          </cell>
          <cell r="C1006">
            <v>8</v>
          </cell>
          <cell r="E1006" t="str">
            <v>CLE</v>
          </cell>
          <cell r="I1006">
            <v>13</v>
          </cell>
          <cell r="J1006">
            <v>32</v>
          </cell>
          <cell r="L1006">
            <v>0</v>
          </cell>
        </row>
        <row r="1007">
          <cell r="B1007">
            <v>2025</v>
          </cell>
          <cell r="C1007">
            <v>10</v>
          </cell>
          <cell r="E1007" t="str">
            <v>CLE</v>
          </cell>
          <cell r="I1007">
            <v>20</v>
          </cell>
          <cell r="J1007">
            <v>27</v>
          </cell>
          <cell r="L1007">
            <v>0</v>
          </cell>
        </row>
        <row r="1008">
          <cell r="B1008">
            <v>2025</v>
          </cell>
          <cell r="C1008">
            <v>11</v>
          </cell>
          <cell r="E1008" t="str">
            <v>CLE</v>
          </cell>
          <cell r="I1008">
            <v>16</v>
          </cell>
          <cell r="J1008">
            <v>23</v>
          </cell>
          <cell r="L1008">
            <v>0</v>
          </cell>
        </row>
        <row r="1009">
          <cell r="B1009">
            <v>2025</v>
          </cell>
          <cell r="C1009">
            <v>12</v>
          </cell>
          <cell r="E1009" t="str">
            <v>CLE</v>
          </cell>
          <cell r="I1009">
            <v>24</v>
          </cell>
          <cell r="J1009">
            <v>10</v>
          </cell>
          <cell r="L1009">
            <v>0</v>
          </cell>
        </row>
        <row r="1010">
          <cell r="B1010">
            <v>2025</v>
          </cell>
          <cell r="C1010">
            <v>13</v>
          </cell>
          <cell r="E1010" t="str">
            <v>CLE</v>
          </cell>
          <cell r="I1010">
            <v>8</v>
          </cell>
          <cell r="J1010">
            <v>26</v>
          </cell>
          <cell r="L1010">
            <v>0</v>
          </cell>
        </row>
        <row r="1011">
          <cell r="B1011">
            <v>2025</v>
          </cell>
          <cell r="C1011">
            <v>14</v>
          </cell>
          <cell r="E1011" t="str">
            <v>CLE</v>
          </cell>
          <cell r="I1011">
            <v>29</v>
          </cell>
          <cell r="J1011">
            <v>31</v>
          </cell>
          <cell r="L1011">
            <v>0</v>
          </cell>
        </row>
        <row r="1012">
          <cell r="B1012">
            <v>2025</v>
          </cell>
          <cell r="C1012">
            <v>15</v>
          </cell>
          <cell r="E1012" t="str">
            <v>CLE</v>
          </cell>
          <cell r="I1012">
            <v>3</v>
          </cell>
          <cell r="J1012">
            <v>31</v>
          </cell>
          <cell r="L1012">
            <v>0</v>
          </cell>
        </row>
        <row r="1013">
          <cell r="B1013">
            <v>2025</v>
          </cell>
          <cell r="C1013">
            <v>16</v>
          </cell>
          <cell r="E1013" t="str">
            <v>CLE</v>
          </cell>
          <cell r="I1013">
            <v>20</v>
          </cell>
          <cell r="J1013">
            <v>23</v>
          </cell>
          <cell r="L1013">
            <v>0</v>
          </cell>
        </row>
        <row r="1014">
          <cell r="B1014">
            <v>2025</v>
          </cell>
          <cell r="C1014">
            <v>17</v>
          </cell>
          <cell r="E1014" t="str">
            <v>CLE</v>
          </cell>
          <cell r="I1014">
            <v>13</v>
          </cell>
          <cell r="J1014">
            <v>6</v>
          </cell>
          <cell r="L1014">
            <v>0</v>
          </cell>
        </row>
        <row r="1015">
          <cell r="B1015">
            <v>2025</v>
          </cell>
          <cell r="C1015">
            <v>18</v>
          </cell>
          <cell r="E1015" t="str">
            <v>CLE</v>
          </cell>
          <cell r="I1015">
            <v>20</v>
          </cell>
          <cell r="J1015">
            <v>18</v>
          </cell>
          <cell r="L1015">
            <v>0</v>
          </cell>
        </row>
        <row r="1016">
          <cell r="B1016">
            <v>2026</v>
          </cell>
          <cell r="C1016">
            <v>1</v>
          </cell>
          <cell r="E1016" t="str">
            <v>CLE</v>
          </cell>
          <cell r="I1016">
            <v>10</v>
          </cell>
          <cell r="J1016">
            <v>34</v>
          </cell>
          <cell r="L1016">
            <v>0</v>
          </cell>
        </row>
        <row r="1017">
          <cell r="B1017">
            <v>2026</v>
          </cell>
          <cell r="C1017">
            <v>2</v>
          </cell>
          <cell r="E1017" t="str">
            <v>CLE</v>
          </cell>
          <cell r="I1017">
            <v>23</v>
          </cell>
          <cell r="J1017">
            <v>19</v>
          </cell>
          <cell r="L1017">
            <v>0</v>
          </cell>
        </row>
        <row r="1018">
          <cell r="B1018">
            <v>2026</v>
          </cell>
          <cell r="C1018">
            <v>3</v>
          </cell>
          <cell r="E1018" t="str">
            <v>CLE</v>
          </cell>
          <cell r="I1018">
            <v>21</v>
          </cell>
          <cell r="J1018">
            <v>18</v>
          </cell>
          <cell r="L1018">
            <v>0</v>
          </cell>
        </row>
        <row r="1019">
          <cell r="B1019">
            <v>2026</v>
          </cell>
          <cell r="C1019">
            <v>4</v>
          </cell>
          <cell r="E1019" t="str">
            <v>CLE</v>
          </cell>
          <cell r="I1019">
            <v>27</v>
          </cell>
          <cell r="J1019">
            <v>24</v>
          </cell>
          <cell r="L1019">
            <v>0</v>
          </cell>
        </row>
        <row r="1020">
          <cell r="B1020">
            <v>2026</v>
          </cell>
          <cell r="C1020">
            <v>5</v>
          </cell>
          <cell r="E1020" t="str">
            <v>CLE</v>
          </cell>
          <cell r="I1020">
            <v>12</v>
          </cell>
          <cell r="J1020">
            <v>17</v>
          </cell>
          <cell r="L1020">
            <v>0</v>
          </cell>
        </row>
        <row r="1021">
          <cell r="B1021">
            <v>2026</v>
          </cell>
          <cell r="C1021">
            <v>6</v>
          </cell>
          <cell r="E1021" t="str">
            <v>CLE</v>
          </cell>
          <cell r="I1021">
            <v>13</v>
          </cell>
          <cell r="J1021">
            <v>10</v>
          </cell>
          <cell r="L1021">
            <v>0</v>
          </cell>
        </row>
        <row r="1022">
          <cell r="B1022">
            <v>2026</v>
          </cell>
          <cell r="C1022">
            <v>7</v>
          </cell>
          <cell r="E1022" t="str">
            <v>CLE</v>
          </cell>
          <cell r="L1022">
            <v>0</v>
          </cell>
        </row>
        <row r="1023">
          <cell r="B1023">
            <v>2018</v>
          </cell>
          <cell r="C1023">
            <v>1</v>
          </cell>
          <cell r="E1023" t="str">
            <v>CIN</v>
          </cell>
          <cell r="I1023">
            <v>34</v>
          </cell>
          <cell r="J1023">
            <v>23</v>
          </cell>
          <cell r="L1023">
            <v>0</v>
          </cell>
        </row>
        <row r="1024">
          <cell r="B1024">
            <v>2018</v>
          </cell>
          <cell r="C1024">
            <v>2</v>
          </cell>
          <cell r="E1024" t="str">
            <v>CIN</v>
          </cell>
          <cell r="I1024">
            <v>34</v>
          </cell>
          <cell r="J1024">
            <v>23</v>
          </cell>
          <cell r="L1024">
            <v>0</v>
          </cell>
        </row>
        <row r="1025">
          <cell r="B1025">
            <v>2018</v>
          </cell>
          <cell r="C1025">
            <v>3</v>
          </cell>
          <cell r="E1025" t="str">
            <v>CIN</v>
          </cell>
          <cell r="I1025">
            <v>21</v>
          </cell>
          <cell r="J1025">
            <v>31</v>
          </cell>
          <cell r="L1025">
            <v>0</v>
          </cell>
        </row>
        <row r="1026">
          <cell r="B1026">
            <v>2018</v>
          </cell>
          <cell r="C1026">
            <v>4</v>
          </cell>
          <cell r="E1026" t="str">
            <v>CIN</v>
          </cell>
          <cell r="I1026">
            <v>37</v>
          </cell>
          <cell r="J1026">
            <v>36</v>
          </cell>
          <cell r="L1026">
            <v>0</v>
          </cell>
        </row>
        <row r="1027">
          <cell r="B1027">
            <v>2018</v>
          </cell>
          <cell r="C1027">
            <v>5</v>
          </cell>
          <cell r="E1027" t="str">
            <v>CIN</v>
          </cell>
          <cell r="I1027">
            <v>27</v>
          </cell>
          <cell r="J1027">
            <v>17</v>
          </cell>
          <cell r="L1027">
            <v>0</v>
          </cell>
        </row>
        <row r="1028">
          <cell r="B1028">
            <v>2018</v>
          </cell>
          <cell r="C1028">
            <v>6</v>
          </cell>
          <cell r="E1028" t="str">
            <v>CIN</v>
          </cell>
          <cell r="I1028">
            <v>21</v>
          </cell>
          <cell r="J1028">
            <v>28</v>
          </cell>
          <cell r="L1028">
            <v>0</v>
          </cell>
        </row>
        <row r="1029">
          <cell r="B1029">
            <v>2018</v>
          </cell>
          <cell r="C1029">
            <v>7</v>
          </cell>
          <cell r="E1029" t="str">
            <v>CIN</v>
          </cell>
          <cell r="I1029">
            <v>10</v>
          </cell>
          <cell r="J1029">
            <v>45</v>
          </cell>
          <cell r="L1029">
            <v>0</v>
          </cell>
        </row>
        <row r="1030">
          <cell r="B1030">
            <v>2018</v>
          </cell>
          <cell r="C1030">
            <v>8</v>
          </cell>
          <cell r="E1030" t="str">
            <v>CIN</v>
          </cell>
          <cell r="I1030">
            <v>37</v>
          </cell>
          <cell r="J1030">
            <v>34</v>
          </cell>
          <cell r="L1030">
            <v>0</v>
          </cell>
        </row>
        <row r="1031">
          <cell r="B1031">
            <v>2018</v>
          </cell>
          <cell r="C1031">
            <v>10</v>
          </cell>
          <cell r="E1031" t="str">
            <v>CIN</v>
          </cell>
          <cell r="I1031">
            <v>14</v>
          </cell>
          <cell r="J1031">
            <v>51</v>
          </cell>
          <cell r="L1031">
            <v>0</v>
          </cell>
        </row>
        <row r="1032">
          <cell r="B1032">
            <v>2018</v>
          </cell>
          <cell r="C1032">
            <v>11</v>
          </cell>
          <cell r="E1032" t="str">
            <v>CIN</v>
          </cell>
          <cell r="I1032">
            <v>21</v>
          </cell>
          <cell r="J1032">
            <v>24</v>
          </cell>
          <cell r="L1032">
            <v>0</v>
          </cell>
        </row>
        <row r="1033">
          <cell r="B1033">
            <v>2018</v>
          </cell>
          <cell r="C1033">
            <v>12</v>
          </cell>
          <cell r="E1033" t="str">
            <v>CIN</v>
          </cell>
          <cell r="I1033">
            <v>20</v>
          </cell>
          <cell r="J1033">
            <v>35</v>
          </cell>
          <cell r="L1033">
            <v>0</v>
          </cell>
        </row>
        <row r="1034">
          <cell r="B1034">
            <v>2018</v>
          </cell>
          <cell r="C1034">
            <v>13</v>
          </cell>
          <cell r="E1034" t="str">
            <v>CIN</v>
          </cell>
          <cell r="I1034">
            <v>10</v>
          </cell>
          <cell r="J1034">
            <v>24</v>
          </cell>
          <cell r="L1034">
            <v>0</v>
          </cell>
        </row>
        <row r="1035">
          <cell r="B1035">
            <v>2018</v>
          </cell>
          <cell r="C1035">
            <v>14</v>
          </cell>
          <cell r="E1035" t="str">
            <v>CIN</v>
          </cell>
          <cell r="I1035">
            <v>21</v>
          </cell>
          <cell r="J1035">
            <v>26</v>
          </cell>
          <cell r="L1035">
            <v>0</v>
          </cell>
        </row>
        <row r="1036">
          <cell r="B1036">
            <v>2018</v>
          </cell>
          <cell r="C1036">
            <v>15</v>
          </cell>
          <cell r="E1036" t="str">
            <v>CIN</v>
          </cell>
          <cell r="I1036">
            <v>30</v>
          </cell>
          <cell r="J1036">
            <v>16</v>
          </cell>
          <cell r="L1036">
            <v>0</v>
          </cell>
        </row>
        <row r="1037">
          <cell r="B1037">
            <v>2018</v>
          </cell>
          <cell r="C1037">
            <v>16</v>
          </cell>
          <cell r="E1037" t="str">
            <v>CIN</v>
          </cell>
          <cell r="I1037">
            <v>18</v>
          </cell>
          <cell r="J1037">
            <v>26</v>
          </cell>
          <cell r="L1037">
            <v>0</v>
          </cell>
        </row>
        <row r="1038">
          <cell r="B1038">
            <v>2018</v>
          </cell>
          <cell r="C1038">
            <v>17</v>
          </cell>
          <cell r="E1038" t="str">
            <v>CIN</v>
          </cell>
          <cell r="I1038">
            <v>13</v>
          </cell>
          <cell r="J1038">
            <v>16</v>
          </cell>
          <cell r="L1038">
            <v>0</v>
          </cell>
        </row>
        <row r="1039">
          <cell r="B1039">
            <v>2019</v>
          </cell>
          <cell r="C1039">
            <v>1</v>
          </cell>
          <cell r="E1039" t="str">
            <v>CIN</v>
          </cell>
          <cell r="I1039">
            <v>20</v>
          </cell>
          <cell r="J1039">
            <v>21</v>
          </cell>
          <cell r="L1039">
            <v>0</v>
          </cell>
        </row>
        <row r="1040">
          <cell r="B1040">
            <v>2019</v>
          </cell>
          <cell r="C1040">
            <v>2</v>
          </cell>
          <cell r="E1040" t="str">
            <v>CIN</v>
          </cell>
          <cell r="I1040">
            <v>17</v>
          </cell>
          <cell r="J1040">
            <v>41</v>
          </cell>
          <cell r="L1040">
            <v>0</v>
          </cell>
        </row>
        <row r="1041">
          <cell r="B1041">
            <v>2019</v>
          </cell>
          <cell r="C1041">
            <v>3</v>
          </cell>
          <cell r="E1041" t="str">
            <v>CIN</v>
          </cell>
          <cell r="I1041">
            <v>17</v>
          </cell>
          <cell r="J1041">
            <v>21</v>
          </cell>
          <cell r="L1041">
            <v>0</v>
          </cell>
        </row>
        <row r="1042">
          <cell r="B1042">
            <v>2019</v>
          </cell>
          <cell r="C1042">
            <v>4</v>
          </cell>
          <cell r="E1042" t="str">
            <v>CIN</v>
          </cell>
          <cell r="I1042">
            <v>3</v>
          </cell>
          <cell r="J1042">
            <v>27</v>
          </cell>
          <cell r="L1042">
            <v>0</v>
          </cell>
        </row>
        <row r="1043">
          <cell r="B1043">
            <v>2019</v>
          </cell>
          <cell r="C1043">
            <v>5</v>
          </cell>
          <cell r="E1043" t="str">
            <v>CIN</v>
          </cell>
          <cell r="I1043">
            <v>23</v>
          </cell>
          <cell r="J1043">
            <v>26</v>
          </cell>
          <cell r="L1043">
            <v>0</v>
          </cell>
        </row>
        <row r="1044">
          <cell r="B1044">
            <v>2019</v>
          </cell>
          <cell r="C1044">
            <v>6</v>
          </cell>
          <cell r="E1044" t="str">
            <v>CIN</v>
          </cell>
          <cell r="I1044">
            <v>17</v>
          </cell>
          <cell r="J1044">
            <v>23</v>
          </cell>
          <cell r="L1044">
            <v>0</v>
          </cell>
        </row>
        <row r="1045">
          <cell r="B1045">
            <v>2019</v>
          </cell>
          <cell r="C1045">
            <v>7</v>
          </cell>
          <cell r="E1045" t="str">
            <v>CIN</v>
          </cell>
          <cell r="I1045">
            <v>17</v>
          </cell>
          <cell r="J1045">
            <v>27</v>
          </cell>
          <cell r="L1045">
            <v>0</v>
          </cell>
        </row>
        <row r="1046">
          <cell r="B1046">
            <v>2019</v>
          </cell>
          <cell r="C1046">
            <v>8</v>
          </cell>
          <cell r="E1046" t="str">
            <v>CIN</v>
          </cell>
          <cell r="I1046">
            <v>10</v>
          </cell>
          <cell r="J1046">
            <v>24</v>
          </cell>
          <cell r="L1046">
            <v>0</v>
          </cell>
        </row>
        <row r="1047">
          <cell r="B1047">
            <v>2019</v>
          </cell>
          <cell r="C1047">
            <v>10</v>
          </cell>
          <cell r="E1047" t="str">
            <v>CIN</v>
          </cell>
          <cell r="I1047">
            <v>13</v>
          </cell>
          <cell r="J1047">
            <v>49</v>
          </cell>
          <cell r="L1047">
            <v>0</v>
          </cell>
        </row>
        <row r="1048">
          <cell r="B1048">
            <v>2019</v>
          </cell>
          <cell r="C1048">
            <v>11</v>
          </cell>
          <cell r="E1048" t="str">
            <v>CIN</v>
          </cell>
          <cell r="I1048">
            <v>10</v>
          </cell>
          <cell r="J1048">
            <v>17</v>
          </cell>
          <cell r="L1048">
            <v>0</v>
          </cell>
        </row>
        <row r="1049">
          <cell r="B1049">
            <v>2019</v>
          </cell>
          <cell r="C1049">
            <v>12</v>
          </cell>
          <cell r="E1049" t="str">
            <v>CIN</v>
          </cell>
          <cell r="I1049">
            <v>10</v>
          </cell>
          <cell r="J1049">
            <v>16</v>
          </cell>
          <cell r="L1049">
            <v>0</v>
          </cell>
        </row>
        <row r="1050">
          <cell r="B1050">
            <v>2019</v>
          </cell>
          <cell r="C1050">
            <v>13</v>
          </cell>
          <cell r="E1050" t="str">
            <v>CIN</v>
          </cell>
          <cell r="I1050">
            <v>22</v>
          </cell>
          <cell r="J1050">
            <v>6</v>
          </cell>
          <cell r="L1050">
            <v>0</v>
          </cell>
        </row>
        <row r="1051">
          <cell r="B1051">
            <v>2019</v>
          </cell>
          <cell r="C1051">
            <v>14</v>
          </cell>
          <cell r="E1051" t="str">
            <v>CIN</v>
          </cell>
          <cell r="I1051">
            <v>19</v>
          </cell>
          <cell r="J1051">
            <v>27</v>
          </cell>
          <cell r="L1051">
            <v>0</v>
          </cell>
        </row>
        <row r="1052">
          <cell r="B1052">
            <v>2019</v>
          </cell>
          <cell r="C1052">
            <v>15</v>
          </cell>
          <cell r="E1052" t="str">
            <v>CIN</v>
          </cell>
          <cell r="I1052">
            <v>13</v>
          </cell>
          <cell r="J1052">
            <v>34</v>
          </cell>
          <cell r="L1052">
            <v>0</v>
          </cell>
        </row>
        <row r="1053">
          <cell r="B1053">
            <v>2019</v>
          </cell>
          <cell r="C1053">
            <v>16</v>
          </cell>
          <cell r="E1053" t="str">
            <v>CIN</v>
          </cell>
          <cell r="I1053">
            <v>35</v>
          </cell>
          <cell r="J1053">
            <v>38</v>
          </cell>
          <cell r="L1053">
            <v>0</v>
          </cell>
        </row>
        <row r="1054">
          <cell r="B1054">
            <v>2019</v>
          </cell>
          <cell r="C1054">
            <v>17</v>
          </cell>
          <cell r="E1054" t="str">
            <v>CIN</v>
          </cell>
          <cell r="I1054">
            <v>33</v>
          </cell>
          <cell r="J1054">
            <v>23</v>
          </cell>
          <cell r="L1054">
            <v>0</v>
          </cell>
        </row>
        <row r="1055">
          <cell r="B1055">
            <v>2020</v>
          </cell>
          <cell r="C1055">
            <v>1</v>
          </cell>
          <cell r="E1055" t="str">
            <v>CIN</v>
          </cell>
          <cell r="I1055">
            <v>13</v>
          </cell>
          <cell r="J1055">
            <v>16</v>
          </cell>
          <cell r="L1055">
            <v>0</v>
          </cell>
        </row>
        <row r="1056">
          <cell r="B1056">
            <v>2020</v>
          </cell>
          <cell r="C1056">
            <v>2</v>
          </cell>
          <cell r="E1056" t="str">
            <v>CIN</v>
          </cell>
          <cell r="I1056">
            <v>30</v>
          </cell>
          <cell r="J1056">
            <v>35</v>
          </cell>
          <cell r="L1056">
            <v>0</v>
          </cell>
        </row>
        <row r="1057">
          <cell r="B1057">
            <v>2020</v>
          </cell>
          <cell r="C1057">
            <v>3</v>
          </cell>
          <cell r="E1057" t="str">
            <v>CIN</v>
          </cell>
          <cell r="I1057">
            <v>23</v>
          </cell>
          <cell r="J1057">
            <v>23</v>
          </cell>
          <cell r="L1057">
            <v>0</v>
          </cell>
        </row>
        <row r="1058">
          <cell r="B1058">
            <v>2020</v>
          </cell>
          <cell r="C1058">
            <v>4</v>
          </cell>
          <cell r="E1058" t="str">
            <v>CIN</v>
          </cell>
          <cell r="I1058">
            <v>33</v>
          </cell>
          <cell r="J1058">
            <v>25</v>
          </cell>
          <cell r="L1058">
            <v>0</v>
          </cell>
        </row>
        <row r="1059">
          <cell r="B1059">
            <v>2020</v>
          </cell>
          <cell r="C1059">
            <v>5</v>
          </cell>
          <cell r="E1059" t="str">
            <v>CIN</v>
          </cell>
          <cell r="I1059">
            <v>3</v>
          </cell>
          <cell r="J1059">
            <v>27</v>
          </cell>
          <cell r="L1059">
            <v>0</v>
          </cell>
        </row>
        <row r="1060">
          <cell r="B1060">
            <v>2020</v>
          </cell>
          <cell r="C1060">
            <v>6</v>
          </cell>
          <cell r="E1060" t="str">
            <v>CIN</v>
          </cell>
          <cell r="I1060">
            <v>27</v>
          </cell>
          <cell r="J1060">
            <v>31</v>
          </cell>
          <cell r="L1060">
            <v>0</v>
          </cell>
        </row>
        <row r="1061">
          <cell r="B1061">
            <v>2020</v>
          </cell>
          <cell r="C1061">
            <v>7</v>
          </cell>
          <cell r="E1061" t="str">
            <v>CIN</v>
          </cell>
          <cell r="I1061">
            <v>34</v>
          </cell>
          <cell r="J1061">
            <v>37</v>
          </cell>
          <cell r="L1061">
            <v>0</v>
          </cell>
        </row>
        <row r="1062">
          <cell r="B1062">
            <v>2020</v>
          </cell>
          <cell r="C1062">
            <v>8</v>
          </cell>
          <cell r="E1062" t="str">
            <v>CIN</v>
          </cell>
          <cell r="I1062">
            <v>31</v>
          </cell>
          <cell r="J1062">
            <v>20</v>
          </cell>
          <cell r="L1062">
            <v>0</v>
          </cell>
        </row>
        <row r="1063">
          <cell r="B1063">
            <v>2020</v>
          </cell>
          <cell r="C1063">
            <v>10</v>
          </cell>
          <cell r="E1063" t="str">
            <v>CIN</v>
          </cell>
          <cell r="I1063">
            <v>10</v>
          </cell>
          <cell r="J1063">
            <v>36</v>
          </cell>
          <cell r="L1063">
            <v>0</v>
          </cell>
        </row>
        <row r="1064">
          <cell r="B1064">
            <v>2020</v>
          </cell>
          <cell r="C1064">
            <v>11</v>
          </cell>
          <cell r="E1064" t="str">
            <v>CIN</v>
          </cell>
          <cell r="I1064">
            <v>9</v>
          </cell>
          <cell r="J1064">
            <v>20</v>
          </cell>
          <cell r="L1064">
            <v>0</v>
          </cell>
        </row>
        <row r="1065">
          <cell r="B1065">
            <v>2020</v>
          </cell>
          <cell r="C1065">
            <v>12</v>
          </cell>
          <cell r="E1065" t="str">
            <v>CIN</v>
          </cell>
          <cell r="I1065">
            <v>17</v>
          </cell>
          <cell r="J1065">
            <v>19</v>
          </cell>
          <cell r="L1065">
            <v>0</v>
          </cell>
        </row>
        <row r="1066">
          <cell r="B1066">
            <v>2020</v>
          </cell>
          <cell r="C1066">
            <v>13</v>
          </cell>
          <cell r="E1066" t="str">
            <v>CIN</v>
          </cell>
          <cell r="I1066">
            <v>7</v>
          </cell>
          <cell r="J1066">
            <v>19</v>
          </cell>
          <cell r="L1066">
            <v>0</v>
          </cell>
        </row>
        <row r="1067">
          <cell r="B1067">
            <v>2020</v>
          </cell>
          <cell r="C1067">
            <v>14</v>
          </cell>
          <cell r="E1067" t="str">
            <v>CIN</v>
          </cell>
          <cell r="I1067">
            <v>7</v>
          </cell>
          <cell r="J1067">
            <v>30</v>
          </cell>
          <cell r="L1067">
            <v>0</v>
          </cell>
        </row>
        <row r="1068">
          <cell r="B1068">
            <v>2020</v>
          </cell>
          <cell r="C1068">
            <v>15</v>
          </cell>
          <cell r="E1068" t="str">
            <v>CIN</v>
          </cell>
          <cell r="I1068">
            <v>27</v>
          </cell>
          <cell r="J1068">
            <v>17</v>
          </cell>
          <cell r="L1068">
            <v>0</v>
          </cell>
        </row>
        <row r="1069">
          <cell r="B1069">
            <v>2020</v>
          </cell>
          <cell r="C1069">
            <v>16</v>
          </cell>
          <cell r="E1069" t="str">
            <v>CIN</v>
          </cell>
          <cell r="I1069">
            <v>37</v>
          </cell>
          <cell r="J1069">
            <v>31</v>
          </cell>
          <cell r="L1069">
            <v>0</v>
          </cell>
        </row>
        <row r="1070">
          <cell r="B1070">
            <v>2020</v>
          </cell>
          <cell r="C1070">
            <v>17</v>
          </cell>
          <cell r="E1070" t="str">
            <v>CIN</v>
          </cell>
          <cell r="I1070">
            <v>3</v>
          </cell>
          <cell r="J1070">
            <v>38</v>
          </cell>
          <cell r="L1070">
            <v>0</v>
          </cell>
        </row>
        <row r="1071">
          <cell r="B1071">
            <v>2021</v>
          </cell>
          <cell r="C1071">
            <v>1</v>
          </cell>
          <cell r="E1071" t="str">
            <v>CIN</v>
          </cell>
          <cell r="I1071">
            <v>27</v>
          </cell>
          <cell r="J1071">
            <v>24</v>
          </cell>
          <cell r="L1071">
            <v>0</v>
          </cell>
        </row>
        <row r="1072">
          <cell r="B1072">
            <v>2021</v>
          </cell>
          <cell r="C1072">
            <v>2</v>
          </cell>
          <cell r="E1072" t="str">
            <v>CIN</v>
          </cell>
          <cell r="I1072">
            <v>17</v>
          </cell>
          <cell r="J1072">
            <v>20</v>
          </cell>
          <cell r="L1072">
            <v>0</v>
          </cell>
        </row>
        <row r="1073">
          <cell r="B1073">
            <v>2021</v>
          </cell>
          <cell r="C1073">
            <v>3</v>
          </cell>
          <cell r="E1073" t="str">
            <v>CIN</v>
          </cell>
          <cell r="I1073">
            <v>24</v>
          </cell>
          <cell r="J1073">
            <v>10</v>
          </cell>
          <cell r="L1073">
            <v>0</v>
          </cell>
        </row>
        <row r="1074">
          <cell r="B1074">
            <v>2021</v>
          </cell>
          <cell r="C1074">
            <v>4</v>
          </cell>
          <cell r="E1074" t="str">
            <v>CIN</v>
          </cell>
          <cell r="I1074">
            <v>24</v>
          </cell>
          <cell r="J1074">
            <v>21</v>
          </cell>
          <cell r="L1074">
            <v>0</v>
          </cell>
        </row>
        <row r="1075">
          <cell r="B1075">
            <v>2021</v>
          </cell>
          <cell r="C1075">
            <v>5</v>
          </cell>
          <cell r="E1075" t="str">
            <v>CIN</v>
          </cell>
          <cell r="I1075">
            <v>22</v>
          </cell>
          <cell r="J1075">
            <v>25</v>
          </cell>
          <cell r="L1075">
            <v>0</v>
          </cell>
        </row>
        <row r="1076">
          <cell r="B1076">
            <v>2021</v>
          </cell>
          <cell r="C1076">
            <v>6</v>
          </cell>
          <cell r="E1076" t="str">
            <v>CIN</v>
          </cell>
          <cell r="I1076">
            <v>34</v>
          </cell>
          <cell r="J1076">
            <v>11</v>
          </cell>
          <cell r="L1076">
            <v>0</v>
          </cell>
        </row>
        <row r="1077">
          <cell r="B1077">
            <v>2021</v>
          </cell>
          <cell r="C1077">
            <v>7</v>
          </cell>
          <cell r="E1077" t="str">
            <v>CIN</v>
          </cell>
          <cell r="I1077">
            <v>41</v>
          </cell>
          <cell r="J1077">
            <v>17</v>
          </cell>
          <cell r="L1077">
            <v>0</v>
          </cell>
        </row>
        <row r="1078">
          <cell r="B1078">
            <v>2021</v>
          </cell>
          <cell r="C1078">
            <v>8</v>
          </cell>
          <cell r="E1078" t="str">
            <v>CIN</v>
          </cell>
          <cell r="I1078">
            <v>31</v>
          </cell>
          <cell r="J1078">
            <v>34</v>
          </cell>
          <cell r="L1078">
            <v>0</v>
          </cell>
        </row>
        <row r="1079">
          <cell r="B1079">
            <v>2021</v>
          </cell>
          <cell r="C1079">
            <v>9</v>
          </cell>
          <cell r="E1079" t="str">
            <v>CIN</v>
          </cell>
          <cell r="I1079">
            <v>16</v>
          </cell>
          <cell r="J1079">
            <v>41</v>
          </cell>
          <cell r="L1079">
            <v>0</v>
          </cell>
        </row>
        <row r="1080">
          <cell r="B1080">
            <v>2021</v>
          </cell>
          <cell r="C1080">
            <v>11</v>
          </cell>
          <cell r="E1080" t="str">
            <v>CIN</v>
          </cell>
          <cell r="I1080">
            <v>32</v>
          </cell>
          <cell r="J1080">
            <v>13</v>
          </cell>
          <cell r="L1080">
            <v>0</v>
          </cell>
        </row>
        <row r="1081">
          <cell r="B1081">
            <v>2021</v>
          </cell>
          <cell r="C1081">
            <v>12</v>
          </cell>
          <cell r="E1081" t="str">
            <v>CIN</v>
          </cell>
          <cell r="I1081">
            <v>41</v>
          </cell>
          <cell r="J1081">
            <v>10</v>
          </cell>
          <cell r="L1081">
            <v>0</v>
          </cell>
        </row>
        <row r="1082">
          <cell r="B1082">
            <v>2021</v>
          </cell>
          <cell r="C1082">
            <v>13</v>
          </cell>
          <cell r="E1082" t="str">
            <v>CIN</v>
          </cell>
          <cell r="I1082">
            <v>22</v>
          </cell>
          <cell r="J1082">
            <v>41</v>
          </cell>
          <cell r="L1082">
            <v>0</v>
          </cell>
        </row>
        <row r="1083">
          <cell r="B1083">
            <v>2021</v>
          </cell>
          <cell r="C1083">
            <v>14</v>
          </cell>
          <cell r="E1083" t="str">
            <v>CIN</v>
          </cell>
          <cell r="I1083">
            <v>23</v>
          </cell>
          <cell r="J1083">
            <v>26</v>
          </cell>
          <cell r="L1083">
            <v>0</v>
          </cell>
        </row>
        <row r="1084">
          <cell r="B1084">
            <v>2021</v>
          </cell>
          <cell r="C1084">
            <v>15</v>
          </cell>
          <cell r="E1084" t="str">
            <v>CIN</v>
          </cell>
          <cell r="I1084">
            <v>15</v>
          </cell>
          <cell r="J1084">
            <v>10</v>
          </cell>
          <cell r="L1084">
            <v>0</v>
          </cell>
        </row>
        <row r="1085">
          <cell r="B1085">
            <v>2021</v>
          </cell>
          <cell r="C1085">
            <v>16</v>
          </cell>
          <cell r="E1085" t="str">
            <v>CIN</v>
          </cell>
          <cell r="I1085">
            <v>41</v>
          </cell>
          <cell r="J1085">
            <v>21</v>
          </cell>
          <cell r="L1085">
            <v>0</v>
          </cell>
        </row>
        <row r="1086">
          <cell r="B1086">
            <v>2021</v>
          </cell>
          <cell r="C1086">
            <v>17</v>
          </cell>
          <cell r="E1086" t="str">
            <v>CIN</v>
          </cell>
          <cell r="I1086">
            <v>34</v>
          </cell>
          <cell r="J1086">
            <v>31</v>
          </cell>
          <cell r="L1086">
            <v>0</v>
          </cell>
        </row>
        <row r="1087">
          <cell r="B1087">
            <v>2021</v>
          </cell>
          <cell r="C1087">
            <v>18</v>
          </cell>
          <cell r="E1087" t="str">
            <v>CIN</v>
          </cell>
          <cell r="I1087">
            <v>16</v>
          </cell>
          <cell r="J1087">
            <v>21</v>
          </cell>
          <cell r="L1087">
            <v>0</v>
          </cell>
        </row>
        <row r="1088">
          <cell r="B1088">
            <v>2021</v>
          </cell>
          <cell r="C1088">
            <v>1</v>
          </cell>
          <cell r="E1088" t="str">
            <v>CIN</v>
          </cell>
          <cell r="I1088">
            <v>26</v>
          </cell>
          <cell r="J1088">
            <v>19</v>
          </cell>
          <cell r="L1088">
            <v>1</v>
          </cell>
        </row>
        <row r="1089">
          <cell r="B1089">
            <v>2021</v>
          </cell>
          <cell r="C1089">
            <v>2</v>
          </cell>
          <cell r="E1089" t="str">
            <v>CIN</v>
          </cell>
          <cell r="I1089">
            <v>19</v>
          </cell>
          <cell r="J1089">
            <v>16</v>
          </cell>
          <cell r="L1089">
            <v>1</v>
          </cell>
        </row>
        <row r="1090">
          <cell r="B1090">
            <v>2021</v>
          </cell>
          <cell r="C1090">
            <v>3</v>
          </cell>
          <cell r="E1090" t="str">
            <v>CIN</v>
          </cell>
          <cell r="I1090">
            <v>27</v>
          </cell>
          <cell r="J1090">
            <v>24</v>
          </cell>
          <cell r="L1090">
            <v>1</v>
          </cell>
        </row>
        <row r="1091">
          <cell r="B1091">
            <v>2021</v>
          </cell>
          <cell r="C1091">
            <v>5</v>
          </cell>
          <cell r="E1091" t="str">
            <v>CIN</v>
          </cell>
          <cell r="I1091">
            <v>20</v>
          </cell>
          <cell r="J1091">
            <v>23</v>
          </cell>
          <cell r="L1091">
            <v>1</v>
          </cell>
        </row>
        <row r="1092">
          <cell r="B1092">
            <v>2022</v>
          </cell>
          <cell r="C1092">
            <v>1</v>
          </cell>
          <cell r="E1092" t="str">
            <v>CIN</v>
          </cell>
          <cell r="I1092">
            <v>20</v>
          </cell>
          <cell r="J1092">
            <v>23</v>
          </cell>
          <cell r="L1092">
            <v>0</v>
          </cell>
        </row>
        <row r="1093">
          <cell r="B1093">
            <v>2022</v>
          </cell>
          <cell r="C1093">
            <v>2</v>
          </cell>
          <cell r="E1093" t="str">
            <v>CIN</v>
          </cell>
          <cell r="I1093">
            <v>17</v>
          </cell>
          <cell r="J1093">
            <v>20</v>
          </cell>
          <cell r="L1093">
            <v>0</v>
          </cell>
        </row>
        <row r="1094">
          <cell r="B1094">
            <v>2022</v>
          </cell>
          <cell r="C1094">
            <v>3</v>
          </cell>
          <cell r="E1094" t="str">
            <v>CIN</v>
          </cell>
          <cell r="I1094">
            <v>27</v>
          </cell>
          <cell r="J1094">
            <v>12</v>
          </cell>
          <cell r="L1094">
            <v>0</v>
          </cell>
        </row>
        <row r="1095">
          <cell r="B1095">
            <v>2022</v>
          </cell>
          <cell r="C1095">
            <v>4</v>
          </cell>
          <cell r="E1095" t="str">
            <v>CIN</v>
          </cell>
          <cell r="I1095">
            <v>27</v>
          </cell>
          <cell r="J1095">
            <v>15</v>
          </cell>
          <cell r="L1095">
            <v>0</v>
          </cell>
        </row>
        <row r="1096">
          <cell r="B1096">
            <v>2022</v>
          </cell>
          <cell r="C1096">
            <v>5</v>
          </cell>
          <cell r="E1096" t="str">
            <v>CIN</v>
          </cell>
          <cell r="I1096">
            <v>17</v>
          </cell>
          <cell r="J1096">
            <v>19</v>
          </cell>
          <cell r="L1096">
            <v>0</v>
          </cell>
        </row>
        <row r="1097">
          <cell r="B1097">
            <v>2022</v>
          </cell>
          <cell r="C1097">
            <v>6</v>
          </cell>
          <cell r="E1097" t="str">
            <v>CIN</v>
          </cell>
          <cell r="I1097">
            <v>30</v>
          </cell>
          <cell r="J1097">
            <v>26</v>
          </cell>
          <cell r="L1097">
            <v>0</v>
          </cell>
        </row>
        <row r="1098">
          <cell r="B1098">
            <v>2022</v>
          </cell>
          <cell r="C1098">
            <v>7</v>
          </cell>
          <cell r="E1098" t="str">
            <v>CIN</v>
          </cell>
          <cell r="I1098">
            <v>35</v>
          </cell>
          <cell r="J1098">
            <v>17</v>
          </cell>
          <cell r="L1098">
            <v>0</v>
          </cell>
        </row>
        <row r="1099">
          <cell r="B1099">
            <v>2022</v>
          </cell>
          <cell r="C1099">
            <v>8</v>
          </cell>
          <cell r="E1099" t="str">
            <v>CIN</v>
          </cell>
          <cell r="I1099">
            <v>13</v>
          </cell>
          <cell r="J1099">
            <v>32</v>
          </cell>
          <cell r="L1099">
            <v>0</v>
          </cell>
        </row>
        <row r="1100">
          <cell r="B1100">
            <v>2022</v>
          </cell>
          <cell r="C1100">
            <v>9</v>
          </cell>
          <cell r="E1100" t="str">
            <v>CIN</v>
          </cell>
          <cell r="I1100">
            <v>42</v>
          </cell>
          <cell r="J1100">
            <v>21</v>
          </cell>
          <cell r="L1100">
            <v>0</v>
          </cell>
        </row>
        <row r="1101">
          <cell r="B1101">
            <v>2022</v>
          </cell>
          <cell r="C1101">
            <v>11</v>
          </cell>
          <cell r="E1101" t="str">
            <v>CIN</v>
          </cell>
          <cell r="I1101">
            <v>37</v>
          </cell>
          <cell r="J1101">
            <v>30</v>
          </cell>
          <cell r="L1101">
            <v>0</v>
          </cell>
        </row>
        <row r="1102">
          <cell r="B1102">
            <v>2022</v>
          </cell>
          <cell r="C1102">
            <v>12</v>
          </cell>
          <cell r="E1102" t="str">
            <v>CIN</v>
          </cell>
          <cell r="I1102">
            <v>20</v>
          </cell>
          <cell r="J1102">
            <v>16</v>
          </cell>
          <cell r="L1102">
            <v>0</v>
          </cell>
        </row>
        <row r="1103">
          <cell r="B1103">
            <v>2022</v>
          </cell>
          <cell r="C1103">
            <v>13</v>
          </cell>
          <cell r="E1103" t="str">
            <v>CIN</v>
          </cell>
          <cell r="I1103">
            <v>27</v>
          </cell>
          <cell r="J1103">
            <v>24</v>
          </cell>
          <cell r="L1103">
            <v>0</v>
          </cell>
        </row>
        <row r="1104">
          <cell r="B1104">
            <v>2022</v>
          </cell>
          <cell r="C1104">
            <v>14</v>
          </cell>
          <cell r="E1104" t="str">
            <v>CIN</v>
          </cell>
          <cell r="I1104">
            <v>23</v>
          </cell>
          <cell r="J1104">
            <v>10</v>
          </cell>
          <cell r="L1104">
            <v>0</v>
          </cell>
        </row>
        <row r="1105">
          <cell r="B1105">
            <v>2022</v>
          </cell>
          <cell r="C1105">
            <v>15</v>
          </cell>
          <cell r="E1105" t="str">
            <v>CIN</v>
          </cell>
          <cell r="I1105">
            <v>34</v>
          </cell>
          <cell r="J1105">
            <v>23</v>
          </cell>
          <cell r="L1105">
            <v>0</v>
          </cell>
        </row>
        <row r="1106">
          <cell r="B1106">
            <v>2022</v>
          </cell>
          <cell r="C1106">
            <v>16</v>
          </cell>
          <cell r="E1106" t="str">
            <v>CIN</v>
          </cell>
          <cell r="I1106">
            <v>22</v>
          </cell>
          <cell r="J1106">
            <v>18</v>
          </cell>
          <cell r="L1106">
            <v>0</v>
          </cell>
        </row>
        <row r="1107">
          <cell r="B1107">
            <v>2022</v>
          </cell>
          <cell r="C1107">
            <v>17</v>
          </cell>
          <cell r="E1107" t="str">
            <v>CIN</v>
          </cell>
          <cell r="L1107">
            <v>0</v>
          </cell>
        </row>
        <row r="1108">
          <cell r="B1108">
            <v>2022</v>
          </cell>
          <cell r="C1108">
            <v>18</v>
          </cell>
          <cell r="E1108" t="str">
            <v>CIN</v>
          </cell>
          <cell r="I1108">
            <v>27</v>
          </cell>
          <cell r="J1108">
            <v>16</v>
          </cell>
          <cell r="L1108">
            <v>0</v>
          </cell>
        </row>
        <row r="1109">
          <cell r="B1109">
            <v>2022</v>
          </cell>
          <cell r="C1109">
            <v>1</v>
          </cell>
          <cell r="E1109" t="str">
            <v>CIN</v>
          </cell>
          <cell r="I1109">
            <v>24</v>
          </cell>
          <cell r="J1109">
            <v>17</v>
          </cell>
          <cell r="L1109">
            <v>1</v>
          </cell>
        </row>
        <row r="1110">
          <cell r="B1110">
            <v>2022</v>
          </cell>
          <cell r="C1110">
            <v>2</v>
          </cell>
          <cell r="E1110" t="str">
            <v>CIN</v>
          </cell>
          <cell r="I1110">
            <v>27</v>
          </cell>
          <cell r="J1110">
            <v>10</v>
          </cell>
          <cell r="L1110">
            <v>1</v>
          </cell>
        </row>
        <row r="1111">
          <cell r="B1111">
            <v>2022</v>
          </cell>
          <cell r="C1111">
            <v>3</v>
          </cell>
          <cell r="E1111" t="str">
            <v>CIN</v>
          </cell>
          <cell r="I1111">
            <v>20</v>
          </cell>
          <cell r="J1111">
            <v>23</v>
          </cell>
          <cell r="L1111">
            <v>1</v>
          </cell>
        </row>
        <row r="1112">
          <cell r="B1112">
            <v>2023</v>
          </cell>
          <cell r="C1112">
            <v>1</v>
          </cell>
          <cell r="E1112" t="str">
            <v>CIN</v>
          </cell>
          <cell r="I1112">
            <v>3</v>
          </cell>
          <cell r="J1112">
            <v>24</v>
          </cell>
          <cell r="L1112">
            <v>0</v>
          </cell>
        </row>
        <row r="1113">
          <cell r="B1113">
            <v>2023</v>
          </cell>
          <cell r="C1113">
            <v>2</v>
          </cell>
          <cell r="E1113" t="str">
            <v>CIN</v>
          </cell>
          <cell r="I1113">
            <v>24</v>
          </cell>
          <cell r="J1113">
            <v>27</v>
          </cell>
          <cell r="L1113">
            <v>0</v>
          </cell>
        </row>
        <row r="1114">
          <cell r="B1114">
            <v>2023</v>
          </cell>
          <cell r="C1114">
            <v>3</v>
          </cell>
          <cell r="E1114" t="str">
            <v>CIN</v>
          </cell>
          <cell r="I1114">
            <v>19</v>
          </cell>
          <cell r="J1114">
            <v>16</v>
          </cell>
          <cell r="L1114">
            <v>0</v>
          </cell>
        </row>
        <row r="1115">
          <cell r="B1115">
            <v>2023</v>
          </cell>
          <cell r="C1115">
            <v>4</v>
          </cell>
          <cell r="E1115" t="str">
            <v>CIN</v>
          </cell>
          <cell r="I1115">
            <v>3</v>
          </cell>
          <cell r="J1115">
            <v>27</v>
          </cell>
          <cell r="L1115">
            <v>0</v>
          </cell>
        </row>
        <row r="1116">
          <cell r="B1116">
            <v>2023</v>
          </cell>
          <cell r="C1116">
            <v>5</v>
          </cell>
          <cell r="E1116" t="str">
            <v>CIN</v>
          </cell>
          <cell r="I1116">
            <v>34</v>
          </cell>
          <cell r="J1116">
            <v>20</v>
          </cell>
          <cell r="L1116">
            <v>0</v>
          </cell>
        </row>
        <row r="1117">
          <cell r="B1117">
            <v>2023</v>
          </cell>
          <cell r="C1117">
            <v>6</v>
          </cell>
          <cell r="E1117" t="str">
            <v>CIN</v>
          </cell>
          <cell r="I1117">
            <v>17</v>
          </cell>
          <cell r="J1117">
            <v>13</v>
          </cell>
          <cell r="L1117">
            <v>0</v>
          </cell>
        </row>
        <row r="1118">
          <cell r="B1118">
            <v>2023</v>
          </cell>
          <cell r="C1118">
            <v>8</v>
          </cell>
          <cell r="E1118" t="str">
            <v>CIN</v>
          </cell>
          <cell r="I1118">
            <v>31</v>
          </cell>
          <cell r="J1118">
            <v>17</v>
          </cell>
          <cell r="L1118">
            <v>0</v>
          </cell>
        </row>
        <row r="1119">
          <cell r="B1119">
            <v>2023</v>
          </cell>
          <cell r="C1119">
            <v>9</v>
          </cell>
          <cell r="E1119" t="str">
            <v>CIN</v>
          </cell>
          <cell r="I1119">
            <v>24</v>
          </cell>
          <cell r="J1119">
            <v>18</v>
          </cell>
          <cell r="L1119">
            <v>0</v>
          </cell>
        </row>
        <row r="1120">
          <cell r="B1120">
            <v>2023</v>
          </cell>
          <cell r="C1120">
            <v>10</v>
          </cell>
          <cell r="E1120" t="str">
            <v>CIN</v>
          </cell>
          <cell r="I1120">
            <v>27</v>
          </cell>
          <cell r="J1120">
            <v>30</v>
          </cell>
          <cell r="L1120">
            <v>0</v>
          </cell>
        </row>
        <row r="1121">
          <cell r="B1121">
            <v>2023</v>
          </cell>
          <cell r="C1121">
            <v>11</v>
          </cell>
          <cell r="E1121" t="str">
            <v>CIN</v>
          </cell>
          <cell r="I1121">
            <v>20</v>
          </cell>
          <cell r="J1121">
            <v>34</v>
          </cell>
          <cell r="L1121">
            <v>0</v>
          </cell>
        </row>
        <row r="1122">
          <cell r="B1122">
            <v>2023</v>
          </cell>
          <cell r="C1122">
            <v>12</v>
          </cell>
          <cell r="E1122" t="str">
            <v>CIN</v>
          </cell>
          <cell r="I1122">
            <v>10</v>
          </cell>
          <cell r="J1122">
            <v>16</v>
          </cell>
          <cell r="L1122">
            <v>0</v>
          </cell>
        </row>
        <row r="1123">
          <cell r="B1123">
            <v>2023</v>
          </cell>
          <cell r="C1123">
            <v>13</v>
          </cell>
          <cell r="E1123" t="str">
            <v>CIN</v>
          </cell>
          <cell r="I1123">
            <v>34</v>
          </cell>
          <cell r="J1123">
            <v>31</v>
          </cell>
          <cell r="L1123">
            <v>0</v>
          </cell>
        </row>
        <row r="1124">
          <cell r="B1124">
            <v>2023</v>
          </cell>
          <cell r="C1124">
            <v>14</v>
          </cell>
          <cell r="E1124" t="str">
            <v>CIN</v>
          </cell>
          <cell r="I1124">
            <v>34</v>
          </cell>
          <cell r="J1124">
            <v>14</v>
          </cell>
          <cell r="L1124">
            <v>0</v>
          </cell>
        </row>
        <row r="1125">
          <cell r="B1125">
            <v>2023</v>
          </cell>
          <cell r="C1125">
            <v>15</v>
          </cell>
          <cell r="E1125" t="str">
            <v>CIN</v>
          </cell>
          <cell r="I1125">
            <v>27</v>
          </cell>
          <cell r="J1125">
            <v>24</v>
          </cell>
          <cell r="L1125">
            <v>0</v>
          </cell>
        </row>
        <row r="1126">
          <cell r="B1126">
            <v>2023</v>
          </cell>
          <cell r="C1126">
            <v>16</v>
          </cell>
          <cell r="E1126" t="str">
            <v>CIN</v>
          </cell>
          <cell r="I1126">
            <v>11</v>
          </cell>
          <cell r="J1126">
            <v>34</v>
          </cell>
          <cell r="L1126">
            <v>0</v>
          </cell>
        </row>
        <row r="1127">
          <cell r="B1127">
            <v>2023</v>
          </cell>
          <cell r="C1127">
            <v>17</v>
          </cell>
          <cell r="E1127" t="str">
            <v>CIN</v>
          </cell>
          <cell r="I1127">
            <v>17</v>
          </cell>
          <cell r="J1127">
            <v>25</v>
          </cell>
          <cell r="L1127">
            <v>0</v>
          </cell>
        </row>
        <row r="1128">
          <cell r="B1128">
            <v>2023</v>
          </cell>
          <cell r="C1128">
            <v>18</v>
          </cell>
          <cell r="E1128" t="str">
            <v>CIN</v>
          </cell>
          <cell r="I1128">
            <v>31</v>
          </cell>
          <cell r="J1128">
            <v>14</v>
          </cell>
          <cell r="L1128">
            <v>0</v>
          </cell>
        </row>
        <row r="1129">
          <cell r="B1129">
            <v>2024</v>
          </cell>
          <cell r="C1129">
            <v>1</v>
          </cell>
          <cell r="E1129" t="str">
            <v>CIN</v>
          </cell>
          <cell r="I1129">
            <v>10</v>
          </cell>
          <cell r="J1129">
            <v>16</v>
          </cell>
          <cell r="L1129">
            <v>0</v>
          </cell>
        </row>
        <row r="1130">
          <cell r="B1130">
            <v>2024</v>
          </cell>
          <cell r="C1130">
            <v>2</v>
          </cell>
          <cell r="E1130" t="str">
            <v>CIN</v>
          </cell>
          <cell r="I1130">
            <v>25</v>
          </cell>
          <cell r="J1130">
            <v>26</v>
          </cell>
          <cell r="L1130">
            <v>0</v>
          </cell>
        </row>
        <row r="1131">
          <cell r="B1131">
            <v>2024</v>
          </cell>
          <cell r="C1131">
            <v>3</v>
          </cell>
          <cell r="E1131" t="str">
            <v>CIN</v>
          </cell>
          <cell r="I1131">
            <v>33</v>
          </cell>
          <cell r="J1131">
            <v>38</v>
          </cell>
          <cell r="L1131">
            <v>0</v>
          </cell>
        </row>
        <row r="1132">
          <cell r="B1132">
            <v>2024</v>
          </cell>
          <cell r="C1132">
            <v>4</v>
          </cell>
          <cell r="E1132" t="str">
            <v>CIN</v>
          </cell>
          <cell r="I1132">
            <v>34</v>
          </cell>
          <cell r="J1132">
            <v>24</v>
          </cell>
          <cell r="L1132">
            <v>0</v>
          </cell>
        </row>
        <row r="1133">
          <cell r="B1133">
            <v>2024</v>
          </cell>
          <cell r="C1133">
            <v>5</v>
          </cell>
          <cell r="E1133" t="str">
            <v>CIN</v>
          </cell>
          <cell r="I1133">
            <v>38</v>
          </cell>
          <cell r="J1133">
            <v>41</v>
          </cell>
          <cell r="L1133">
            <v>0</v>
          </cell>
        </row>
        <row r="1134">
          <cell r="B1134">
            <v>2024</v>
          </cell>
          <cell r="C1134">
            <v>6</v>
          </cell>
          <cell r="E1134" t="str">
            <v>CIN</v>
          </cell>
          <cell r="I1134">
            <v>17</v>
          </cell>
          <cell r="J1134">
            <v>7</v>
          </cell>
          <cell r="L1134">
            <v>0</v>
          </cell>
        </row>
        <row r="1135">
          <cell r="B1135">
            <v>2024</v>
          </cell>
          <cell r="C1135">
            <v>7</v>
          </cell>
          <cell r="E1135" t="str">
            <v>CIN</v>
          </cell>
          <cell r="I1135">
            <v>21</v>
          </cell>
          <cell r="J1135">
            <v>14</v>
          </cell>
          <cell r="L1135">
            <v>0</v>
          </cell>
        </row>
        <row r="1136">
          <cell r="B1136">
            <v>2024</v>
          </cell>
          <cell r="C1136">
            <v>8</v>
          </cell>
          <cell r="E1136" t="str">
            <v>CIN</v>
          </cell>
          <cell r="I1136">
            <v>17</v>
          </cell>
          <cell r="J1136">
            <v>37</v>
          </cell>
          <cell r="L1136">
            <v>0</v>
          </cell>
        </row>
        <row r="1137">
          <cell r="B1137">
            <v>2024</v>
          </cell>
          <cell r="C1137">
            <v>9</v>
          </cell>
          <cell r="E1137" t="str">
            <v>CIN</v>
          </cell>
          <cell r="I1137">
            <v>41</v>
          </cell>
          <cell r="J1137">
            <v>24</v>
          </cell>
          <cell r="L1137">
            <v>0</v>
          </cell>
        </row>
        <row r="1138">
          <cell r="B1138">
            <v>2024</v>
          </cell>
          <cell r="C1138">
            <v>10</v>
          </cell>
          <cell r="E1138" t="str">
            <v>CIN</v>
          </cell>
          <cell r="I1138">
            <v>34</v>
          </cell>
          <cell r="J1138">
            <v>35</v>
          </cell>
          <cell r="L1138">
            <v>0</v>
          </cell>
        </row>
        <row r="1139">
          <cell r="B1139">
            <v>2024</v>
          </cell>
          <cell r="C1139">
            <v>11</v>
          </cell>
          <cell r="E1139" t="str">
            <v>CIN</v>
          </cell>
          <cell r="I1139">
            <v>27</v>
          </cell>
          <cell r="J1139">
            <v>34</v>
          </cell>
          <cell r="L1139">
            <v>0</v>
          </cell>
        </row>
        <row r="1140">
          <cell r="B1140">
            <v>2024</v>
          </cell>
          <cell r="C1140">
            <v>13</v>
          </cell>
          <cell r="E1140" t="str">
            <v>CIN</v>
          </cell>
          <cell r="I1140">
            <v>38</v>
          </cell>
          <cell r="J1140">
            <v>44</v>
          </cell>
          <cell r="L1140">
            <v>0</v>
          </cell>
        </row>
        <row r="1141">
          <cell r="B1141">
            <v>2024</v>
          </cell>
          <cell r="C1141">
            <v>14</v>
          </cell>
          <cell r="E1141" t="str">
            <v>CIN</v>
          </cell>
          <cell r="I1141">
            <v>27</v>
          </cell>
          <cell r="J1141">
            <v>20</v>
          </cell>
          <cell r="L1141">
            <v>0</v>
          </cell>
        </row>
        <row r="1142">
          <cell r="B1142">
            <v>2024</v>
          </cell>
          <cell r="C1142">
            <v>15</v>
          </cell>
          <cell r="E1142" t="str">
            <v>CIN</v>
          </cell>
          <cell r="I1142">
            <v>37</v>
          </cell>
          <cell r="J1142">
            <v>27</v>
          </cell>
          <cell r="L1142">
            <v>0</v>
          </cell>
        </row>
        <row r="1143">
          <cell r="B1143">
            <v>2024</v>
          </cell>
          <cell r="C1143">
            <v>16</v>
          </cell>
          <cell r="E1143" t="str">
            <v>CIN</v>
          </cell>
          <cell r="I1143">
            <v>24</v>
          </cell>
          <cell r="J1143">
            <v>6</v>
          </cell>
          <cell r="L1143">
            <v>0</v>
          </cell>
        </row>
        <row r="1144">
          <cell r="B1144">
            <v>2024</v>
          </cell>
          <cell r="C1144">
            <v>17</v>
          </cell>
          <cell r="E1144" t="str">
            <v>CIN</v>
          </cell>
          <cell r="I1144">
            <v>30</v>
          </cell>
          <cell r="J1144">
            <v>24</v>
          </cell>
          <cell r="L1144">
            <v>0</v>
          </cell>
        </row>
        <row r="1145">
          <cell r="B1145">
            <v>2024</v>
          </cell>
          <cell r="C1145">
            <v>18</v>
          </cell>
          <cell r="E1145" t="str">
            <v>CIN</v>
          </cell>
          <cell r="I1145">
            <v>19</v>
          </cell>
          <cell r="J1145">
            <v>17</v>
          </cell>
          <cell r="L1145">
            <v>0</v>
          </cell>
        </row>
        <row r="1146">
          <cell r="B1146">
            <v>2025</v>
          </cell>
          <cell r="C1146">
            <v>1</v>
          </cell>
          <cell r="E1146" t="str">
            <v>CIN</v>
          </cell>
          <cell r="I1146">
            <v>17</v>
          </cell>
          <cell r="J1146">
            <v>16</v>
          </cell>
          <cell r="L1146">
            <v>0</v>
          </cell>
        </row>
        <row r="1147">
          <cell r="B1147">
            <v>2025</v>
          </cell>
          <cell r="C1147">
            <v>2</v>
          </cell>
          <cell r="E1147" t="str">
            <v>CIN</v>
          </cell>
          <cell r="I1147">
            <v>31</v>
          </cell>
          <cell r="J1147">
            <v>27</v>
          </cell>
          <cell r="L1147">
            <v>0</v>
          </cell>
        </row>
        <row r="1148">
          <cell r="B1148">
            <v>2025</v>
          </cell>
          <cell r="C1148">
            <v>3</v>
          </cell>
          <cell r="E1148" t="str">
            <v>CIN</v>
          </cell>
          <cell r="I1148">
            <v>10</v>
          </cell>
          <cell r="J1148">
            <v>48</v>
          </cell>
          <cell r="L1148">
            <v>0</v>
          </cell>
        </row>
        <row r="1149">
          <cell r="B1149">
            <v>2025</v>
          </cell>
          <cell r="C1149">
            <v>4</v>
          </cell>
          <cell r="E1149" t="str">
            <v>CIN</v>
          </cell>
          <cell r="I1149">
            <v>3</v>
          </cell>
          <cell r="J1149">
            <v>28</v>
          </cell>
          <cell r="L1149">
            <v>0</v>
          </cell>
        </row>
        <row r="1150">
          <cell r="B1150">
            <v>2025</v>
          </cell>
          <cell r="C1150">
            <v>5</v>
          </cell>
          <cell r="E1150" t="str">
            <v>CIN</v>
          </cell>
          <cell r="I1150">
            <v>24</v>
          </cell>
          <cell r="J1150">
            <v>37</v>
          </cell>
          <cell r="L1150">
            <v>0</v>
          </cell>
        </row>
        <row r="1151">
          <cell r="B1151">
            <v>2025</v>
          </cell>
          <cell r="C1151">
            <v>6</v>
          </cell>
          <cell r="E1151" t="str">
            <v>CIN</v>
          </cell>
          <cell r="I1151">
            <v>18</v>
          </cell>
          <cell r="J1151">
            <v>27</v>
          </cell>
          <cell r="L1151">
            <v>0</v>
          </cell>
        </row>
        <row r="1152">
          <cell r="B1152">
            <v>2025</v>
          </cell>
          <cell r="C1152">
            <v>7</v>
          </cell>
          <cell r="E1152" t="str">
            <v>CIN</v>
          </cell>
          <cell r="I1152">
            <v>33</v>
          </cell>
          <cell r="J1152">
            <v>31</v>
          </cell>
          <cell r="L1152">
            <v>0</v>
          </cell>
        </row>
        <row r="1153">
          <cell r="B1153">
            <v>2025</v>
          </cell>
          <cell r="C1153">
            <v>8</v>
          </cell>
          <cell r="E1153" t="str">
            <v>CIN</v>
          </cell>
          <cell r="I1153">
            <v>38</v>
          </cell>
          <cell r="J1153">
            <v>39</v>
          </cell>
          <cell r="L1153">
            <v>0</v>
          </cell>
        </row>
        <row r="1154">
          <cell r="B1154">
            <v>2025</v>
          </cell>
          <cell r="C1154">
            <v>9</v>
          </cell>
          <cell r="E1154" t="str">
            <v>CIN</v>
          </cell>
          <cell r="I1154">
            <v>42</v>
          </cell>
          <cell r="J1154">
            <v>47</v>
          </cell>
          <cell r="L1154">
            <v>0</v>
          </cell>
        </row>
        <row r="1155">
          <cell r="B1155">
            <v>2025</v>
          </cell>
          <cell r="C1155">
            <v>11</v>
          </cell>
          <cell r="E1155" t="str">
            <v>CIN</v>
          </cell>
          <cell r="I1155">
            <v>12</v>
          </cell>
          <cell r="J1155">
            <v>34</v>
          </cell>
          <cell r="L1155">
            <v>0</v>
          </cell>
        </row>
        <row r="1156">
          <cell r="B1156">
            <v>2025</v>
          </cell>
          <cell r="C1156">
            <v>12</v>
          </cell>
          <cell r="E1156" t="str">
            <v>CIN</v>
          </cell>
          <cell r="I1156">
            <v>20</v>
          </cell>
          <cell r="J1156">
            <v>26</v>
          </cell>
          <cell r="L1156">
            <v>0</v>
          </cell>
        </row>
        <row r="1157">
          <cell r="B1157">
            <v>2025</v>
          </cell>
          <cell r="C1157">
            <v>13</v>
          </cell>
          <cell r="E1157" t="str">
            <v>CIN</v>
          </cell>
          <cell r="I1157">
            <v>32</v>
          </cell>
          <cell r="J1157">
            <v>14</v>
          </cell>
          <cell r="L1157">
            <v>0</v>
          </cell>
        </row>
        <row r="1158">
          <cell r="B1158">
            <v>2025</v>
          </cell>
          <cell r="C1158">
            <v>14</v>
          </cell>
          <cell r="E1158" t="str">
            <v>CIN</v>
          </cell>
          <cell r="I1158">
            <v>34</v>
          </cell>
          <cell r="J1158">
            <v>39</v>
          </cell>
          <cell r="L1158">
            <v>0</v>
          </cell>
        </row>
        <row r="1159">
          <cell r="B1159">
            <v>2025</v>
          </cell>
          <cell r="C1159">
            <v>15</v>
          </cell>
          <cell r="E1159" t="str">
            <v>CIN</v>
          </cell>
          <cell r="I1159">
            <v>0</v>
          </cell>
          <cell r="J1159">
            <v>24</v>
          </cell>
          <cell r="L1159">
            <v>0</v>
          </cell>
        </row>
        <row r="1160">
          <cell r="B1160">
            <v>2025</v>
          </cell>
          <cell r="C1160">
            <v>16</v>
          </cell>
          <cell r="E1160" t="str">
            <v>CIN</v>
          </cell>
          <cell r="I1160">
            <v>45</v>
          </cell>
          <cell r="J1160">
            <v>21</v>
          </cell>
          <cell r="L1160">
            <v>0</v>
          </cell>
        </row>
        <row r="1161">
          <cell r="B1161">
            <v>2025</v>
          </cell>
          <cell r="C1161">
            <v>17</v>
          </cell>
          <cell r="E1161" t="str">
            <v>CIN</v>
          </cell>
          <cell r="I1161">
            <v>37</v>
          </cell>
          <cell r="J1161">
            <v>14</v>
          </cell>
          <cell r="L1161">
            <v>0</v>
          </cell>
        </row>
        <row r="1162">
          <cell r="B1162">
            <v>2025</v>
          </cell>
          <cell r="C1162">
            <v>18</v>
          </cell>
          <cell r="E1162" t="str">
            <v>CIN</v>
          </cell>
          <cell r="I1162">
            <v>18</v>
          </cell>
          <cell r="J1162">
            <v>20</v>
          </cell>
          <cell r="L1162">
            <v>0</v>
          </cell>
        </row>
        <row r="1163">
          <cell r="B1163">
            <v>2026</v>
          </cell>
          <cell r="C1163">
            <v>1</v>
          </cell>
          <cell r="E1163" t="str">
            <v>CIN</v>
          </cell>
          <cell r="I1163">
            <v>33</v>
          </cell>
          <cell r="J1163">
            <v>27</v>
          </cell>
          <cell r="L1163">
            <v>0</v>
          </cell>
        </row>
        <row r="1164">
          <cell r="B1164">
            <v>2026</v>
          </cell>
          <cell r="C1164">
            <v>2</v>
          </cell>
          <cell r="E1164" t="str">
            <v>CIN</v>
          </cell>
          <cell r="I1164">
            <v>20</v>
          </cell>
          <cell r="J1164">
            <v>6</v>
          </cell>
          <cell r="L1164">
            <v>0</v>
          </cell>
        </row>
        <row r="1165">
          <cell r="B1165">
            <v>2026</v>
          </cell>
          <cell r="C1165">
            <v>3</v>
          </cell>
          <cell r="E1165" t="str">
            <v>CIN</v>
          </cell>
          <cell r="I1165">
            <v>27</v>
          </cell>
          <cell r="J1165">
            <v>30</v>
          </cell>
          <cell r="L1165">
            <v>0</v>
          </cell>
        </row>
        <row r="1166">
          <cell r="B1166">
            <v>2026</v>
          </cell>
          <cell r="C1166">
            <v>4</v>
          </cell>
          <cell r="E1166" t="str">
            <v>CIN</v>
          </cell>
          <cell r="I1166">
            <v>17</v>
          </cell>
          <cell r="J1166">
            <v>22</v>
          </cell>
          <cell r="L1166">
            <v>0</v>
          </cell>
        </row>
        <row r="1167">
          <cell r="B1167">
            <v>2026</v>
          </cell>
          <cell r="C1167">
            <v>5</v>
          </cell>
          <cell r="E1167" t="str">
            <v>CIN</v>
          </cell>
          <cell r="I1167">
            <v>31</v>
          </cell>
          <cell r="J1167">
            <v>24</v>
          </cell>
          <cell r="L1167">
            <v>0</v>
          </cell>
        </row>
        <row r="1168">
          <cell r="B1168">
            <v>2026</v>
          </cell>
          <cell r="C1168">
            <v>7</v>
          </cell>
          <cell r="E1168" t="str">
            <v>CIN</v>
          </cell>
          <cell r="L1168">
            <v>0</v>
          </cell>
        </row>
        <row r="1169">
          <cell r="B1169">
            <v>2018</v>
          </cell>
          <cell r="C1169">
            <v>1</v>
          </cell>
          <cell r="E1169" t="str">
            <v>HOU</v>
          </cell>
          <cell r="I1169">
            <v>20</v>
          </cell>
          <cell r="J1169">
            <v>27</v>
          </cell>
          <cell r="L1169">
            <v>0</v>
          </cell>
        </row>
        <row r="1170">
          <cell r="B1170">
            <v>2018</v>
          </cell>
          <cell r="C1170">
            <v>2</v>
          </cell>
          <cell r="E1170" t="str">
            <v>HOU</v>
          </cell>
          <cell r="I1170">
            <v>17</v>
          </cell>
          <cell r="J1170">
            <v>20</v>
          </cell>
          <cell r="L1170">
            <v>0</v>
          </cell>
        </row>
        <row r="1171">
          <cell r="B1171">
            <v>2018</v>
          </cell>
          <cell r="C1171">
            <v>3</v>
          </cell>
          <cell r="E1171" t="str">
            <v>HOU</v>
          </cell>
          <cell r="I1171">
            <v>22</v>
          </cell>
          <cell r="J1171">
            <v>27</v>
          </cell>
          <cell r="L1171">
            <v>0</v>
          </cell>
        </row>
        <row r="1172">
          <cell r="B1172">
            <v>2018</v>
          </cell>
          <cell r="C1172">
            <v>4</v>
          </cell>
          <cell r="E1172" t="str">
            <v>HOU</v>
          </cell>
          <cell r="I1172">
            <v>37</v>
          </cell>
          <cell r="J1172">
            <v>34</v>
          </cell>
          <cell r="L1172">
            <v>0</v>
          </cell>
        </row>
        <row r="1173">
          <cell r="B1173">
            <v>2018</v>
          </cell>
          <cell r="C1173">
            <v>5</v>
          </cell>
          <cell r="E1173" t="str">
            <v>HOU</v>
          </cell>
          <cell r="I1173">
            <v>19</v>
          </cell>
          <cell r="J1173">
            <v>16</v>
          </cell>
          <cell r="L1173">
            <v>0</v>
          </cell>
        </row>
        <row r="1174">
          <cell r="B1174">
            <v>2018</v>
          </cell>
          <cell r="C1174">
            <v>6</v>
          </cell>
          <cell r="E1174" t="str">
            <v>HOU</v>
          </cell>
          <cell r="I1174">
            <v>20</v>
          </cell>
          <cell r="J1174">
            <v>13</v>
          </cell>
          <cell r="L1174">
            <v>0</v>
          </cell>
        </row>
        <row r="1175">
          <cell r="B1175">
            <v>2018</v>
          </cell>
          <cell r="C1175">
            <v>7</v>
          </cell>
          <cell r="E1175" t="str">
            <v>HOU</v>
          </cell>
          <cell r="I1175">
            <v>20</v>
          </cell>
          <cell r="J1175">
            <v>7</v>
          </cell>
          <cell r="L1175">
            <v>0</v>
          </cell>
        </row>
        <row r="1176">
          <cell r="B1176">
            <v>2018</v>
          </cell>
          <cell r="C1176">
            <v>8</v>
          </cell>
          <cell r="E1176" t="str">
            <v>HOU</v>
          </cell>
          <cell r="I1176">
            <v>42</v>
          </cell>
          <cell r="J1176">
            <v>23</v>
          </cell>
          <cell r="L1176">
            <v>0</v>
          </cell>
        </row>
        <row r="1177">
          <cell r="B1177">
            <v>2018</v>
          </cell>
          <cell r="C1177">
            <v>9</v>
          </cell>
          <cell r="E1177" t="str">
            <v>HOU</v>
          </cell>
          <cell r="I1177">
            <v>19</v>
          </cell>
          <cell r="J1177">
            <v>17</v>
          </cell>
          <cell r="L1177">
            <v>0</v>
          </cell>
        </row>
        <row r="1178">
          <cell r="B1178">
            <v>2018</v>
          </cell>
          <cell r="C1178">
            <v>11</v>
          </cell>
          <cell r="E1178" t="str">
            <v>HOU</v>
          </cell>
          <cell r="I1178">
            <v>23</v>
          </cell>
          <cell r="J1178">
            <v>21</v>
          </cell>
          <cell r="L1178">
            <v>0</v>
          </cell>
        </row>
        <row r="1179">
          <cell r="B1179">
            <v>2018</v>
          </cell>
          <cell r="C1179">
            <v>12</v>
          </cell>
          <cell r="E1179" t="str">
            <v>HOU</v>
          </cell>
          <cell r="I1179">
            <v>34</v>
          </cell>
          <cell r="J1179">
            <v>17</v>
          </cell>
          <cell r="L1179">
            <v>0</v>
          </cell>
        </row>
        <row r="1180">
          <cell r="B1180">
            <v>2018</v>
          </cell>
          <cell r="C1180">
            <v>13</v>
          </cell>
          <cell r="E1180" t="str">
            <v>HOU</v>
          </cell>
          <cell r="I1180">
            <v>29</v>
          </cell>
          <cell r="J1180">
            <v>13</v>
          </cell>
          <cell r="L1180">
            <v>0</v>
          </cell>
        </row>
        <row r="1181">
          <cell r="B1181">
            <v>2018</v>
          </cell>
          <cell r="C1181">
            <v>14</v>
          </cell>
          <cell r="E1181" t="str">
            <v>HOU</v>
          </cell>
          <cell r="I1181">
            <v>21</v>
          </cell>
          <cell r="J1181">
            <v>24</v>
          </cell>
          <cell r="L1181">
            <v>0</v>
          </cell>
        </row>
        <row r="1182">
          <cell r="B1182">
            <v>2018</v>
          </cell>
          <cell r="C1182">
            <v>15</v>
          </cell>
          <cell r="E1182" t="str">
            <v>HOU</v>
          </cell>
          <cell r="I1182">
            <v>29</v>
          </cell>
          <cell r="J1182">
            <v>22</v>
          </cell>
          <cell r="L1182">
            <v>0</v>
          </cell>
        </row>
        <row r="1183">
          <cell r="B1183">
            <v>2018</v>
          </cell>
          <cell r="C1183">
            <v>16</v>
          </cell>
          <cell r="E1183" t="str">
            <v>HOU</v>
          </cell>
          <cell r="I1183">
            <v>30</v>
          </cell>
          <cell r="J1183">
            <v>32</v>
          </cell>
          <cell r="L1183">
            <v>0</v>
          </cell>
        </row>
        <row r="1184">
          <cell r="B1184">
            <v>2018</v>
          </cell>
          <cell r="C1184">
            <v>17</v>
          </cell>
          <cell r="E1184" t="str">
            <v>HOU</v>
          </cell>
          <cell r="I1184">
            <v>20</v>
          </cell>
          <cell r="J1184">
            <v>3</v>
          </cell>
          <cell r="L1184">
            <v>0</v>
          </cell>
        </row>
        <row r="1185">
          <cell r="B1185">
            <v>2018</v>
          </cell>
          <cell r="C1185">
            <v>1</v>
          </cell>
          <cell r="E1185" t="str">
            <v>HOU</v>
          </cell>
          <cell r="I1185">
            <v>7</v>
          </cell>
          <cell r="J1185">
            <v>21</v>
          </cell>
          <cell r="L1185">
            <v>1</v>
          </cell>
        </row>
        <row r="1186">
          <cell r="B1186">
            <v>2019</v>
          </cell>
          <cell r="C1186">
            <v>1</v>
          </cell>
          <cell r="E1186" t="str">
            <v>HOU</v>
          </cell>
          <cell r="I1186">
            <v>28</v>
          </cell>
          <cell r="J1186">
            <v>30</v>
          </cell>
          <cell r="L1186">
            <v>0</v>
          </cell>
        </row>
        <row r="1187">
          <cell r="B1187">
            <v>2019</v>
          </cell>
          <cell r="C1187">
            <v>2</v>
          </cell>
          <cell r="E1187" t="str">
            <v>HOU</v>
          </cell>
          <cell r="I1187">
            <v>13</v>
          </cell>
          <cell r="J1187">
            <v>12</v>
          </cell>
          <cell r="L1187">
            <v>0</v>
          </cell>
        </row>
        <row r="1188">
          <cell r="B1188">
            <v>2019</v>
          </cell>
          <cell r="C1188">
            <v>3</v>
          </cell>
          <cell r="E1188" t="str">
            <v>HOU</v>
          </cell>
          <cell r="I1188">
            <v>27</v>
          </cell>
          <cell r="J1188">
            <v>20</v>
          </cell>
          <cell r="L1188">
            <v>0</v>
          </cell>
        </row>
        <row r="1189">
          <cell r="B1189">
            <v>2019</v>
          </cell>
          <cell r="C1189">
            <v>4</v>
          </cell>
          <cell r="E1189" t="str">
            <v>HOU</v>
          </cell>
          <cell r="I1189">
            <v>10</v>
          </cell>
          <cell r="J1189">
            <v>16</v>
          </cell>
          <cell r="L1189">
            <v>0</v>
          </cell>
        </row>
        <row r="1190">
          <cell r="B1190">
            <v>2019</v>
          </cell>
          <cell r="C1190">
            <v>5</v>
          </cell>
          <cell r="E1190" t="str">
            <v>HOU</v>
          </cell>
          <cell r="I1190">
            <v>53</v>
          </cell>
          <cell r="J1190">
            <v>32</v>
          </cell>
          <cell r="L1190">
            <v>0</v>
          </cell>
        </row>
        <row r="1191">
          <cell r="B1191">
            <v>2019</v>
          </cell>
          <cell r="C1191">
            <v>6</v>
          </cell>
          <cell r="E1191" t="str">
            <v>HOU</v>
          </cell>
          <cell r="I1191">
            <v>31</v>
          </cell>
          <cell r="J1191">
            <v>24</v>
          </cell>
          <cell r="L1191">
            <v>0</v>
          </cell>
        </row>
        <row r="1192">
          <cell r="B1192">
            <v>2019</v>
          </cell>
          <cell r="C1192">
            <v>7</v>
          </cell>
          <cell r="E1192" t="str">
            <v>HOU</v>
          </cell>
          <cell r="I1192">
            <v>23</v>
          </cell>
          <cell r="J1192">
            <v>30</v>
          </cell>
          <cell r="L1192">
            <v>0</v>
          </cell>
        </row>
        <row r="1193">
          <cell r="B1193">
            <v>2019</v>
          </cell>
          <cell r="C1193">
            <v>8</v>
          </cell>
          <cell r="E1193" t="str">
            <v>HOU</v>
          </cell>
          <cell r="I1193">
            <v>27</v>
          </cell>
          <cell r="J1193">
            <v>24</v>
          </cell>
          <cell r="L1193">
            <v>0</v>
          </cell>
        </row>
        <row r="1194">
          <cell r="B1194">
            <v>2019</v>
          </cell>
          <cell r="C1194">
            <v>9</v>
          </cell>
          <cell r="E1194" t="str">
            <v>HOU</v>
          </cell>
          <cell r="I1194">
            <v>26</v>
          </cell>
          <cell r="J1194">
            <v>3</v>
          </cell>
          <cell r="L1194">
            <v>0</v>
          </cell>
        </row>
        <row r="1195">
          <cell r="B1195">
            <v>2019</v>
          </cell>
          <cell r="C1195">
            <v>11</v>
          </cell>
          <cell r="E1195" t="str">
            <v>HOU</v>
          </cell>
          <cell r="I1195">
            <v>7</v>
          </cell>
          <cell r="J1195">
            <v>41</v>
          </cell>
          <cell r="L1195">
            <v>0</v>
          </cell>
        </row>
        <row r="1196">
          <cell r="B1196">
            <v>2019</v>
          </cell>
          <cell r="C1196">
            <v>12</v>
          </cell>
          <cell r="E1196" t="str">
            <v>HOU</v>
          </cell>
          <cell r="I1196">
            <v>20</v>
          </cell>
          <cell r="J1196">
            <v>17</v>
          </cell>
          <cell r="L1196">
            <v>0</v>
          </cell>
        </row>
        <row r="1197">
          <cell r="B1197">
            <v>2019</v>
          </cell>
          <cell r="C1197">
            <v>13</v>
          </cell>
          <cell r="E1197" t="str">
            <v>HOU</v>
          </cell>
          <cell r="I1197">
            <v>28</v>
          </cell>
          <cell r="J1197">
            <v>22</v>
          </cell>
          <cell r="L1197">
            <v>0</v>
          </cell>
        </row>
        <row r="1198">
          <cell r="B1198">
            <v>2019</v>
          </cell>
          <cell r="C1198">
            <v>14</v>
          </cell>
          <cell r="E1198" t="str">
            <v>HOU</v>
          </cell>
          <cell r="I1198">
            <v>24</v>
          </cell>
          <cell r="J1198">
            <v>38</v>
          </cell>
          <cell r="L1198">
            <v>0</v>
          </cell>
        </row>
        <row r="1199">
          <cell r="B1199">
            <v>2019</v>
          </cell>
          <cell r="C1199">
            <v>15</v>
          </cell>
          <cell r="E1199" t="str">
            <v>HOU</v>
          </cell>
          <cell r="I1199">
            <v>24</v>
          </cell>
          <cell r="J1199">
            <v>21</v>
          </cell>
          <cell r="L1199">
            <v>0</v>
          </cell>
        </row>
        <row r="1200">
          <cell r="B1200">
            <v>2019</v>
          </cell>
          <cell r="C1200">
            <v>16</v>
          </cell>
          <cell r="E1200" t="str">
            <v>HOU</v>
          </cell>
          <cell r="I1200">
            <v>23</v>
          </cell>
          <cell r="J1200">
            <v>20</v>
          </cell>
          <cell r="L1200">
            <v>0</v>
          </cell>
        </row>
        <row r="1201">
          <cell r="B1201">
            <v>2019</v>
          </cell>
          <cell r="C1201">
            <v>17</v>
          </cell>
          <cell r="E1201" t="str">
            <v>HOU</v>
          </cell>
          <cell r="I1201">
            <v>14</v>
          </cell>
          <cell r="J1201">
            <v>35</v>
          </cell>
          <cell r="L1201">
            <v>0</v>
          </cell>
        </row>
        <row r="1202">
          <cell r="B1202">
            <v>2019</v>
          </cell>
          <cell r="C1202">
            <v>1</v>
          </cell>
          <cell r="E1202" t="str">
            <v>HOU</v>
          </cell>
          <cell r="I1202">
            <v>22</v>
          </cell>
          <cell r="J1202">
            <v>19</v>
          </cell>
          <cell r="L1202">
            <v>1</v>
          </cell>
        </row>
        <row r="1203">
          <cell r="B1203">
            <v>2019</v>
          </cell>
          <cell r="C1203">
            <v>2</v>
          </cell>
          <cell r="E1203" t="str">
            <v>HOU</v>
          </cell>
          <cell r="I1203">
            <v>31</v>
          </cell>
          <cell r="J1203">
            <v>51</v>
          </cell>
          <cell r="L1203">
            <v>1</v>
          </cell>
        </row>
        <row r="1204">
          <cell r="B1204">
            <v>2020</v>
          </cell>
          <cell r="C1204">
            <v>1</v>
          </cell>
          <cell r="E1204" t="str">
            <v>HOU</v>
          </cell>
          <cell r="I1204">
            <v>20</v>
          </cell>
          <cell r="J1204">
            <v>34</v>
          </cell>
          <cell r="L1204">
            <v>0</v>
          </cell>
        </row>
        <row r="1205">
          <cell r="B1205">
            <v>2020</v>
          </cell>
          <cell r="C1205">
            <v>2</v>
          </cell>
          <cell r="E1205" t="str">
            <v>HOU</v>
          </cell>
          <cell r="I1205">
            <v>16</v>
          </cell>
          <cell r="J1205">
            <v>33</v>
          </cell>
          <cell r="L1205">
            <v>0</v>
          </cell>
        </row>
        <row r="1206">
          <cell r="B1206">
            <v>2020</v>
          </cell>
          <cell r="C1206">
            <v>3</v>
          </cell>
          <cell r="E1206" t="str">
            <v>HOU</v>
          </cell>
          <cell r="I1206">
            <v>21</v>
          </cell>
          <cell r="J1206">
            <v>28</v>
          </cell>
          <cell r="L1206">
            <v>0</v>
          </cell>
        </row>
        <row r="1207">
          <cell r="B1207">
            <v>2020</v>
          </cell>
          <cell r="C1207">
            <v>4</v>
          </cell>
          <cell r="E1207" t="str">
            <v>HOU</v>
          </cell>
          <cell r="I1207">
            <v>23</v>
          </cell>
          <cell r="J1207">
            <v>31</v>
          </cell>
          <cell r="L1207">
            <v>0</v>
          </cell>
        </row>
        <row r="1208">
          <cell r="B1208">
            <v>2020</v>
          </cell>
          <cell r="C1208">
            <v>5</v>
          </cell>
          <cell r="E1208" t="str">
            <v>HOU</v>
          </cell>
          <cell r="I1208">
            <v>30</v>
          </cell>
          <cell r="J1208">
            <v>14</v>
          </cell>
          <cell r="L1208">
            <v>0</v>
          </cell>
        </row>
        <row r="1209">
          <cell r="B1209">
            <v>2020</v>
          </cell>
          <cell r="C1209">
            <v>6</v>
          </cell>
          <cell r="E1209" t="str">
            <v>HOU</v>
          </cell>
          <cell r="I1209">
            <v>36</v>
          </cell>
          <cell r="J1209">
            <v>42</v>
          </cell>
          <cell r="L1209">
            <v>0</v>
          </cell>
        </row>
        <row r="1210">
          <cell r="B1210">
            <v>2020</v>
          </cell>
          <cell r="C1210">
            <v>7</v>
          </cell>
          <cell r="E1210" t="str">
            <v>HOU</v>
          </cell>
          <cell r="I1210">
            <v>20</v>
          </cell>
          <cell r="J1210">
            <v>35</v>
          </cell>
          <cell r="L1210">
            <v>0</v>
          </cell>
        </row>
        <row r="1211">
          <cell r="B1211">
            <v>2020</v>
          </cell>
          <cell r="C1211">
            <v>9</v>
          </cell>
          <cell r="E1211" t="str">
            <v>HOU</v>
          </cell>
          <cell r="I1211">
            <v>27</v>
          </cell>
          <cell r="J1211">
            <v>25</v>
          </cell>
          <cell r="L1211">
            <v>0</v>
          </cell>
        </row>
        <row r="1212">
          <cell r="B1212">
            <v>2020</v>
          </cell>
          <cell r="C1212">
            <v>10</v>
          </cell>
          <cell r="E1212" t="str">
            <v>HOU</v>
          </cell>
          <cell r="I1212">
            <v>7</v>
          </cell>
          <cell r="J1212">
            <v>10</v>
          </cell>
          <cell r="L1212">
            <v>0</v>
          </cell>
        </row>
        <row r="1213">
          <cell r="B1213">
            <v>2020</v>
          </cell>
          <cell r="C1213">
            <v>11</v>
          </cell>
          <cell r="E1213" t="str">
            <v>HOU</v>
          </cell>
          <cell r="I1213">
            <v>27</v>
          </cell>
          <cell r="J1213">
            <v>20</v>
          </cell>
          <cell r="L1213">
            <v>0</v>
          </cell>
        </row>
        <row r="1214">
          <cell r="B1214">
            <v>2020</v>
          </cell>
          <cell r="C1214">
            <v>12</v>
          </cell>
          <cell r="E1214" t="str">
            <v>HOU</v>
          </cell>
          <cell r="I1214">
            <v>41</v>
          </cell>
          <cell r="J1214">
            <v>25</v>
          </cell>
          <cell r="L1214">
            <v>0</v>
          </cell>
        </row>
        <row r="1215">
          <cell r="B1215">
            <v>2020</v>
          </cell>
          <cell r="C1215">
            <v>13</v>
          </cell>
          <cell r="E1215" t="str">
            <v>HOU</v>
          </cell>
          <cell r="I1215">
            <v>20</v>
          </cell>
          <cell r="J1215">
            <v>26</v>
          </cell>
          <cell r="L1215">
            <v>0</v>
          </cell>
        </row>
        <row r="1216">
          <cell r="B1216">
            <v>2020</v>
          </cell>
          <cell r="C1216">
            <v>14</v>
          </cell>
          <cell r="E1216" t="str">
            <v>HOU</v>
          </cell>
          <cell r="I1216">
            <v>7</v>
          </cell>
          <cell r="J1216">
            <v>36</v>
          </cell>
          <cell r="L1216">
            <v>0</v>
          </cell>
        </row>
        <row r="1217">
          <cell r="B1217">
            <v>2020</v>
          </cell>
          <cell r="C1217">
            <v>15</v>
          </cell>
          <cell r="E1217" t="str">
            <v>HOU</v>
          </cell>
          <cell r="I1217">
            <v>20</v>
          </cell>
          <cell r="J1217">
            <v>27</v>
          </cell>
          <cell r="L1217">
            <v>0</v>
          </cell>
        </row>
        <row r="1218">
          <cell r="B1218">
            <v>2020</v>
          </cell>
          <cell r="C1218">
            <v>16</v>
          </cell>
          <cell r="E1218" t="str">
            <v>HOU</v>
          </cell>
          <cell r="I1218">
            <v>31</v>
          </cell>
          <cell r="J1218">
            <v>37</v>
          </cell>
          <cell r="L1218">
            <v>0</v>
          </cell>
        </row>
        <row r="1219">
          <cell r="B1219">
            <v>2020</v>
          </cell>
          <cell r="C1219">
            <v>17</v>
          </cell>
          <cell r="E1219" t="str">
            <v>HOU</v>
          </cell>
          <cell r="I1219">
            <v>38</v>
          </cell>
          <cell r="J1219">
            <v>41</v>
          </cell>
          <cell r="L1219">
            <v>0</v>
          </cell>
        </row>
        <row r="1220">
          <cell r="B1220">
            <v>2021</v>
          </cell>
          <cell r="C1220">
            <v>1</v>
          </cell>
          <cell r="E1220" t="str">
            <v>HOU</v>
          </cell>
          <cell r="I1220">
            <v>37</v>
          </cell>
          <cell r="J1220">
            <v>21</v>
          </cell>
          <cell r="L1220">
            <v>0</v>
          </cell>
        </row>
        <row r="1221">
          <cell r="B1221">
            <v>2021</v>
          </cell>
          <cell r="C1221">
            <v>2</v>
          </cell>
          <cell r="E1221" t="str">
            <v>HOU</v>
          </cell>
          <cell r="I1221">
            <v>21</v>
          </cell>
          <cell r="J1221">
            <v>31</v>
          </cell>
          <cell r="L1221">
            <v>0</v>
          </cell>
        </row>
        <row r="1222">
          <cell r="B1222">
            <v>2021</v>
          </cell>
          <cell r="C1222">
            <v>3</v>
          </cell>
          <cell r="E1222" t="str">
            <v>HOU</v>
          </cell>
          <cell r="I1222">
            <v>9</v>
          </cell>
          <cell r="J1222">
            <v>24</v>
          </cell>
          <cell r="L1222">
            <v>0</v>
          </cell>
        </row>
        <row r="1223">
          <cell r="B1223">
            <v>2021</v>
          </cell>
          <cell r="C1223">
            <v>4</v>
          </cell>
          <cell r="E1223" t="str">
            <v>HOU</v>
          </cell>
          <cell r="I1223">
            <v>0</v>
          </cell>
          <cell r="J1223">
            <v>40</v>
          </cell>
          <cell r="L1223">
            <v>0</v>
          </cell>
        </row>
        <row r="1224">
          <cell r="B1224">
            <v>2021</v>
          </cell>
          <cell r="C1224">
            <v>5</v>
          </cell>
          <cell r="E1224" t="str">
            <v>HOU</v>
          </cell>
          <cell r="I1224">
            <v>22</v>
          </cell>
          <cell r="J1224">
            <v>25</v>
          </cell>
          <cell r="L1224">
            <v>0</v>
          </cell>
        </row>
        <row r="1225">
          <cell r="B1225">
            <v>2021</v>
          </cell>
          <cell r="C1225">
            <v>6</v>
          </cell>
          <cell r="E1225" t="str">
            <v>HOU</v>
          </cell>
          <cell r="I1225">
            <v>3</v>
          </cell>
          <cell r="J1225">
            <v>31</v>
          </cell>
          <cell r="L1225">
            <v>0</v>
          </cell>
        </row>
        <row r="1226">
          <cell r="B1226">
            <v>2021</v>
          </cell>
          <cell r="C1226">
            <v>7</v>
          </cell>
          <cell r="E1226" t="str">
            <v>HOU</v>
          </cell>
          <cell r="I1226">
            <v>5</v>
          </cell>
          <cell r="J1226">
            <v>31</v>
          </cell>
          <cell r="L1226">
            <v>0</v>
          </cell>
        </row>
        <row r="1227">
          <cell r="B1227">
            <v>2021</v>
          </cell>
          <cell r="C1227">
            <v>8</v>
          </cell>
          <cell r="E1227" t="str">
            <v>HOU</v>
          </cell>
          <cell r="I1227">
            <v>22</v>
          </cell>
          <cell r="J1227">
            <v>38</v>
          </cell>
          <cell r="L1227">
            <v>0</v>
          </cell>
        </row>
        <row r="1228">
          <cell r="B1228">
            <v>2021</v>
          </cell>
          <cell r="C1228">
            <v>9</v>
          </cell>
          <cell r="E1228" t="str">
            <v>HOU</v>
          </cell>
          <cell r="I1228">
            <v>9</v>
          </cell>
          <cell r="J1228">
            <v>17</v>
          </cell>
          <cell r="L1228">
            <v>0</v>
          </cell>
        </row>
        <row r="1229">
          <cell r="B1229">
            <v>2021</v>
          </cell>
          <cell r="C1229">
            <v>11</v>
          </cell>
          <cell r="E1229" t="str">
            <v>HOU</v>
          </cell>
          <cell r="I1229">
            <v>22</v>
          </cell>
          <cell r="J1229">
            <v>13</v>
          </cell>
          <cell r="L1229">
            <v>0</v>
          </cell>
        </row>
        <row r="1230">
          <cell r="B1230">
            <v>2021</v>
          </cell>
          <cell r="C1230">
            <v>12</v>
          </cell>
          <cell r="E1230" t="str">
            <v>HOU</v>
          </cell>
          <cell r="I1230">
            <v>14</v>
          </cell>
          <cell r="J1230">
            <v>21</v>
          </cell>
          <cell r="L1230">
            <v>0</v>
          </cell>
        </row>
        <row r="1231">
          <cell r="B1231">
            <v>2021</v>
          </cell>
          <cell r="C1231">
            <v>13</v>
          </cell>
          <cell r="E1231" t="str">
            <v>HOU</v>
          </cell>
          <cell r="I1231">
            <v>0</v>
          </cell>
          <cell r="J1231">
            <v>31</v>
          </cell>
          <cell r="L1231">
            <v>0</v>
          </cell>
        </row>
        <row r="1232">
          <cell r="B1232">
            <v>2021</v>
          </cell>
          <cell r="C1232">
            <v>14</v>
          </cell>
          <cell r="E1232" t="str">
            <v>HOU</v>
          </cell>
          <cell r="I1232">
            <v>13</v>
          </cell>
          <cell r="J1232">
            <v>33</v>
          </cell>
          <cell r="L1232">
            <v>0</v>
          </cell>
        </row>
        <row r="1233">
          <cell r="B1233">
            <v>2021</v>
          </cell>
          <cell r="C1233">
            <v>15</v>
          </cell>
          <cell r="E1233" t="str">
            <v>HOU</v>
          </cell>
          <cell r="I1233">
            <v>30</v>
          </cell>
          <cell r="J1233">
            <v>16</v>
          </cell>
          <cell r="L1233">
            <v>0</v>
          </cell>
        </row>
        <row r="1234">
          <cell r="B1234">
            <v>2021</v>
          </cell>
          <cell r="C1234">
            <v>16</v>
          </cell>
          <cell r="E1234" t="str">
            <v>HOU</v>
          </cell>
          <cell r="I1234">
            <v>41</v>
          </cell>
          <cell r="J1234">
            <v>29</v>
          </cell>
          <cell r="L1234">
            <v>0</v>
          </cell>
        </row>
        <row r="1235">
          <cell r="B1235">
            <v>2021</v>
          </cell>
          <cell r="C1235">
            <v>17</v>
          </cell>
          <cell r="E1235" t="str">
            <v>HOU</v>
          </cell>
          <cell r="I1235">
            <v>7</v>
          </cell>
          <cell r="J1235">
            <v>23</v>
          </cell>
          <cell r="L1235">
            <v>0</v>
          </cell>
        </row>
        <row r="1236">
          <cell r="B1236">
            <v>2021</v>
          </cell>
          <cell r="C1236">
            <v>18</v>
          </cell>
          <cell r="E1236" t="str">
            <v>HOU</v>
          </cell>
          <cell r="I1236">
            <v>25</v>
          </cell>
          <cell r="J1236">
            <v>28</v>
          </cell>
          <cell r="L1236">
            <v>0</v>
          </cell>
        </row>
        <row r="1237">
          <cell r="B1237">
            <v>2022</v>
          </cell>
          <cell r="C1237">
            <v>1</v>
          </cell>
          <cell r="E1237" t="str">
            <v>HOU</v>
          </cell>
          <cell r="I1237">
            <v>20</v>
          </cell>
          <cell r="J1237">
            <v>20</v>
          </cell>
          <cell r="L1237">
            <v>0</v>
          </cell>
        </row>
        <row r="1238">
          <cell r="B1238">
            <v>2022</v>
          </cell>
          <cell r="C1238">
            <v>2</v>
          </cell>
          <cell r="E1238" t="str">
            <v>HOU</v>
          </cell>
          <cell r="I1238">
            <v>9</v>
          </cell>
          <cell r="J1238">
            <v>16</v>
          </cell>
          <cell r="L1238">
            <v>0</v>
          </cell>
        </row>
        <row r="1239">
          <cell r="B1239">
            <v>2022</v>
          </cell>
          <cell r="C1239">
            <v>3</v>
          </cell>
          <cell r="E1239" t="str">
            <v>HOU</v>
          </cell>
          <cell r="I1239">
            <v>20</v>
          </cell>
          <cell r="J1239">
            <v>23</v>
          </cell>
          <cell r="L1239">
            <v>0</v>
          </cell>
        </row>
        <row r="1240">
          <cell r="B1240">
            <v>2022</v>
          </cell>
          <cell r="C1240">
            <v>4</v>
          </cell>
          <cell r="E1240" t="str">
            <v>HOU</v>
          </cell>
          <cell r="I1240">
            <v>24</v>
          </cell>
          <cell r="J1240">
            <v>34</v>
          </cell>
          <cell r="L1240">
            <v>0</v>
          </cell>
        </row>
        <row r="1241">
          <cell r="B1241">
            <v>2022</v>
          </cell>
          <cell r="C1241">
            <v>5</v>
          </cell>
          <cell r="E1241" t="str">
            <v>HOU</v>
          </cell>
          <cell r="I1241">
            <v>13</v>
          </cell>
          <cell r="J1241">
            <v>6</v>
          </cell>
          <cell r="L1241">
            <v>0</v>
          </cell>
        </row>
        <row r="1242">
          <cell r="B1242">
            <v>2022</v>
          </cell>
          <cell r="C1242">
            <v>7</v>
          </cell>
          <cell r="E1242" t="str">
            <v>HOU</v>
          </cell>
          <cell r="I1242">
            <v>20</v>
          </cell>
          <cell r="J1242">
            <v>38</v>
          </cell>
          <cell r="L1242">
            <v>0</v>
          </cell>
        </row>
        <row r="1243">
          <cell r="B1243">
            <v>2022</v>
          </cell>
          <cell r="C1243">
            <v>8</v>
          </cell>
          <cell r="E1243" t="str">
            <v>HOU</v>
          </cell>
          <cell r="I1243">
            <v>10</v>
          </cell>
          <cell r="J1243">
            <v>17</v>
          </cell>
          <cell r="L1243">
            <v>0</v>
          </cell>
        </row>
        <row r="1244">
          <cell r="B1244">
            <v>2022</v>
          </cell>
          <cell r="C1244">
            <v>9</v>
          </cell>
          <cell r="E1244" t="str">
            <v>HOU</v>
          </cell>
          <cell r="I1244">
            <v>17</v>
          </cell>
          <cell r="J1244">
            <v>29</v>
          </cell>
          <cell r="L1244">
            <v>0</v>
          </cell>
        </row>
        <row r="1245">
          <cell r="B1245">
            <v>2022</v>
          </cell>
          <cell r="C1245">
            <v>10</v>
          </cell>
          <cell r="E1245" t="str">
            <v>HOU</v>
          </cell>
          <cell r="I1245">
            <v>16</v>
          </cell>
          <cell r="J1245">
            <v>24</v>
          </cell>
          <cell r="L1245">
            <v>0</v>
          </cell>
        </row>
        <row r="1246">
          <cell r="B1246">
            <v>2022</v>
          </cell>
          <cell r="C1246">
            <v>11</v>
          </cell>
          <cell r="E1246" t="str">
            <v>HOU</v>
          </cell>
          <cell r="I1246">
            <v>10</v>
          </cell>
          <cell r="J1246">
            <v>23</v>
          </cell>
          <cell r="L1246">
            <v>0</v>
          </cell>
        </row>
        <row r="1247">
          <cell r="B1247">
            <v>2022</v>
          </cell>
          <cell r="C1247">
            <v>12</v>
          </cell>
          <cell r="E1247" t="str">
            <v>HOU</v>
          </cell>
          <cell r="I1247">
            <v>15</v>
          </cell>
          <cell r="J1247">
            <v>30</v>
          </cell>
          <cell r="L1247">
            <v>0</v>
          </cell>
        </row>
        <row r="1248">
          <cell r="B1248">
            <v>2022</v>
          </cell>
          <cell r="C1248">
            <v>13</v>
          </cell>
          <cell r="E1248" t="str">
            <v>HOU</v>
          </cell>
          <cell r="I1248">
            <v>14</v>
          </cell>
          <cell r="J1248">
            <v>27</v>
          </cell>
          <cell r="L1248">
            <v>0</v>
          </cell>
        </row>
        <row r="1249">
          <cell r="B1249">
            <v>2022</v>
          </cell>
          <cell r="C1249">
            <v>14</v>
          </cell>
          <cell r="E1249" t="str">
            <v>HOU</v>
          </cell>
          <cell r="I1249">
            <v>23</v>
          </cell>
          <cell r="J1249">
            <v>27</v>
          </cell>
          <cell r="L1249">
            <v>0</v>
          </cell>
        </row>
        <row r="1250">
          <cell r="B1250">
            <v>2022</v>
          </cell>
          <cell r="C1250">
            <v>15</v>
          </cell>
          <cell r="E1250" t="str">
            <v>HOU</v>
          </cell>
          <cell r="I1250">
            <v>24</v>
          </cell>
          <cell r="J1250">
            <v>30</v>
          </cell>
          <cell r="L1250">
            <v>0</v>
          </cell>
        </row>
        <row r="1251">
          <cell r="B1251">
            <v>2022</v>
          </cell>
          <cell r="C1251">
            <v>16</v>
          </cell>
          <cell r="E1251" t="str">
            <v>HOU</v>
          </cell>
          <cell r="I1251">
            <v>19</v>
          </cell>
          <cell r="J1251">
            <v>14</v>
          </cell>
          <cell r="L1251">
            <v>0</v>
          </cell>
        </row>
        <row r="1252">
          <cell r="B1252">
            <v>2022</v>
          </cell>
          <cell r="C1252">
            <v>17</v>
          </cell>
          <cell r="E1252" t="str">
            <v>HOU</v>
          </cell>
          <cell r="I1252">
            <v>3</v>
          </cell>
          <cell r="J1252">
            <v>31</v>
          </cell>
          <cell r="L1252">
            <v>0</v>
          </cell>
        </row>
        <row r="1253">
          <cell r="B1253">
            <v>2022</v>
          </cell>
          <cell r="C1253">
            <v>18</v>
          </cell>
          <cell r="E1253" t="str">
            <v>HOU</v>
          </cell>
          <cell r="I1253">
            <v>32</v>
          </cell>
          <cell r="J1253">
            <v>31</v>
          </cell>
          <cell r="L1253">
            <v>0</v>
          </cell>
        </row>
        <row r="1254">
          <cell r="B1254">
            <v>2023</v>
          </cell>
          <cell r="C1254">
            <v>1</v>
          </cell>
          <cell r="E1254" t="str">
            <v>HOU</v>
          </cell>
          <cell r="I1254">
            <v>9</v>
          </cell>
          <cell r="J1254">
            <v>25</v>
          </cell>
          <cell r="L1254">
            <v>0</v>
          </cell>
        </row>
        <row r="1255">
          <cell r="B1255">
            <v>2023</v>
          </cell>
          <cell r="C1255">
            <v>2</v>
          </cell>
          <cell r="E1255" t="str">
            <v>HOU</v>
          </cell>
          <cell r="I1255">
            <v>20</v>
          </cell>
          <cell r="J1255">
            <v>31</v>
          </cell>
          <cell r="L1255">
            <v>0</v>
          </cell>
        </row>
        <row r="1256">
          <cell r="B1256">
            <v>2023</v>
          </cell>
          <cell r="C1256">
            <v>3</v>
          </cell>
          <cell r="E1256" t="str">
            <v>HOU</v>
          </cell>
          <cell r="I1256">
            <v>37</v>
          </cell>
          <cell r="J1256">
            <v>17</v>
          </cell>
          <cell r="L1256">
            <v>0</v>
          </cell>
        </row>
        <row r="1257">
          <cell r="B1257">
            <v>2023</v>
          </cell>
          <cell r="C1257">
            <v>4</v>
          </cell>
          <cell r="E1257" t="str">
            <v>HOU</v>
          </cell>
          <cell r="I1257">
            <v>30</v>
          </cell>
          <cell r="J1257">
            <v>6</v>
          </cell>
          <cell r="L1257">
            <v>0</v>
          </cell>
        </row>
        <row r="1258">
          <cell r="B1258">
            <v>2023</v>
          </cell>
          <cell r="C1258">
            <v>5</v>
          </cell>
          <cell r="E1258" t="str">
            <v>HOU</v>
          </cell>
          <cell r="I1258">
            <v>19</v>
          </cell>
          <cell r="J1258">
            <v>21</v>
          </cell>
          <cell r="L1258">
            <v>0</v>
          </cell>
        </row>
        <row r="1259">
          <cell r="B1259">
            <v>2023</v>
          </cell>
          <cell r="C1259">
            <v>6</v>
          </cell>
          <cell r="E1259" t="str">
            <v>HOU</v>
          </cell>
          <cell r="I1259">
            <v>20</v>
          </cell>
          <cell r="J1259">
            <v>13</v>
          </cell>
          <cell r="L1259">
            <v>0</v>
          </cell>
        </row>
        <row r="1260">
          <cell r="B1260">
            <v>2023</v>
          </cell>
          <cell r="C1260">
            <v>8</v>
          </cell>
          <cell r="E1260" t="str">
            <v>HOU</v>
          </cell>
          <cell r="I1260">
            <v>13</v>
          </cell>
          <cell r="J1260">
            <v>15</v>
          </cell>
          <cell r="L1260">
            <v>0</v>
          </cell>
        </row>
        <row r="1261">
          <cell r="B1261">
            <v>2023</v>
          </cell>
          <cell r="C1261">
            <v>9</v>
          </cell>
          <cell r="E1261" t="str">
            <v>HOU</v>
          </cell>
          <cell r="I1261">
            <v>39</v>
          </cell>
          <cell r="J1261">
            <v>37</v>
          </cell>
          <cell r="L1261">
            <v>0</v>
          </cell>
        </row>
        <row r="1262">
          <cell r="B1262">
            <v>2023</v>
          </cell>
          <cell r="C1262">
            <v>10</v>
          </cell>
          <cell r="E1262" t="str">
            <v>HOU</v>
          </cell>
          <cell r="I1262">
            <v>30</v>
          </cell>
          <cell r="J1262">
            <v>27</v>
          </cell>
          <cell r="L1262">
            <v>0</v>
          </cell>
        </row>
        <row r="1263">
          <cell r="B1263">
            <v>2023</v>
          </cell>
          <cell r="C1263">
            <v>11</v>
          </cell>
          <cell r="E1263" t="str">
            <v>HOU</v>
          </cell>
          <cell r="I1263">
            <v>21</v>
          </cell>
          <cell r="J1263">
            <v>16</v>
          </cell>
          <cell r="L1263">
            <v>0</v>
          </cell>
        </row>
        <row r="1264">
          <cell r="B1264">
            <v>2023</v>
          </cell>
          <cell r="C1264">
            <v>12</v>
          </cell>
          <cell r="E1264" t="str">
            <v>HOU</v>
          </cell>
          <cell r="I1264">
            <v>21</v>
          </cell>
          <cell r="J1264">
            <v>24</v>
          </cell>
          <cell r="L1264">
            <v>0</v>
          </cell>
        </row>
        <row r="1265">
          <cell r="B1265">
            <v>2023</v>
          </cell>
          <cell r="C1265">
            <v>13</v>
          </cell>
          <cell r="E1265" t="str">
            <v>HOU</v>
          </cell>
          <cell r="I1265">
            <v>22</v>
          </cell>
          <cell r="J1265">
            <v>17</v>
          </cell>
          <cell r="L1265">
            <v>0</v>
          </cell>
        </row>
        <row r="1266">
          <cell r="B1266">
            <v>2023</v>
          </cell>
          <cell r="C1266">
            <v>14</v>
          </cell>
          <cell r="E1266" t="str">
            <v>HOU</v>
          </cell>
          <cell r="I1266">
            <v>6</v>
          </cell>
          <cell r="J1266">
            <v>30</v>
          </cell>
          <cell r="L1266">
            <v>0</v>
          </cell>
        </row>
        <row r="1267">
          <cell r="B1267">
            <v>2023</v>
          </cell>
          <cell r="C1267">
            <v>15</v>
          </cell>
          <cell r="E1267" t="str">
            <v>HOU</v>
          </cell>
          <cell r="I1267">
            <v>19</v>
          </cell>
          <cell r="J1267">
            <v>16</v>
          </cell>
          <cell r="L1267">
            <v>0</v>
          </cell>
        </row>
        <row r="1268">
          <cell r="B1268">
            <v>2023</v>
          </cell>
          <cell r="C1268">
            <v>16</v>
          </cell>
          <cell r="E1268" t="str">
            <v>HOU</v>
          </cell>
          <cell r="I1268">
            <v>22</v>
          </cell>
          <cell r="J1268">
            <v>36</v>
          </cell>
          <cell r="L1268">
            <v>0</v>
          </cell>
        </row>
        <row r="1269">
          <cell r="B1269">
            <v>2023</v>
          </cell>
          <cell r="C1269">
            <v>17</v>
          </cell>
          <cell r="E1269" t="str">
            <v>HOU</v>
          </cell>
          <cell r="I1269">
            <v>26</v>
          </cell>
          <cell r="J1269">
            <v>3</v>
          </cell>
          <cell r="L1269">
            <v>0</v>
          </cell>
        </row>
        <row r="1270">
          <cell r="B1270">
            <v>2023</v>
          </cell>
          <cell r="C1270">
            <v>18</v>
          </cell>
          <cell r="E1270" t="str">
            <v>HOU</v>
          </cell>
          <cell r="I1270">
            <v>23</v>
          </cell>
          <cell r="J1270">
            <v>19</v>
          </cell>
          <cell r="L1270">
            <v>0</v>
          </cell>
        </row>
        <row r="1271">
          <cell r="B1271">
            <v>2023</v>
          </cell>
          <cell r="C1271">
            <v>1</v>
          </cell>
          <cell r="E1271" t="str">
            <v>HOU</v>
          </cell>
          <cell r="I1271">
            <v>45</v>
          </cell>
          <cell r="J1271">
            <v>14</v>
          </cell>
          <cell r="L1271">
            <v>1</v>
          </cell>
        </row>
        <row r="1272">
          <cell r="B1272">
            <v>2023</v>
          </cell>
          <cell r="C1272">
            <v>2</v>
          </cell>
          <cell r="E1272" t="str">
            <v>HOU</v>
          </cell>
          <cell r="I1272">
            <v>10</v>
          </cell>
          <cell r="J1272">
            <v>34</v>
          </cell>
          <cell r="L1272">
            <v>1</v>
          </cell>
        </row>
        <row r="1273">
          <cell r="B1273">
            <v>2024</v>
          </cell>
          <cell r="C1273">
            <v>1</v>
          </cell>
          <cell r="E1273" t="str">
            <v>HOU</v>
          </cell>
          <cell r="I1273">
            <v>29</v>
          </cell>
          <cell r="J1273">
            <v>27</v>
          </cell>
          <cell r="L1273">
            <v>0</v>
          </cell>
        </row>
        <row r="1274">
          <cell r="B1274">
            <v>2024</v>
          </cell>
          <cell r="C1274">
            <v>2</v>
          </cell>
          <cell r="E1274" t="str">
            <v>HOU</v>
          </cell>
          <cell r="I1274">
            <v>19</v>
          </cell>
          <cell r="J1274">
            <v>13</v>
          </cell>
          <cell r="L1274">
            <v>0</v>
          </cell>
        </row>
        <row r="1275">
          <cell r="B1275">
            <v>2024</v>
          </cell>
          <cell r="C1275">
            <v>3</v>
          </cell>
          <cell r="E1275" t="str">
            <v>HOU</v>
          </cell>
          <cell r="I1275">
            <v>7</v>
          </cell>
          <cell r="J1275">
            <v>34</v>
          </cell>
          <cell r="L1275">
            <v>0</v>
          </cell>
        </row>
        <row r="1276">
          <cell r="B1276">
            <v>2024</v>
          </cell>
          <cell r="C1276">
            <v>4</v>
          </cell>
          <cell r="E1276" t="str">
            <v>HOU</v>
          </cell>
          <cell r="I1276">
            <v>24</v>
          </cell>
          <cell r="J1276">
            <v>20</v>
          </cell>
          <cell r="L1276">
            <v>0</v>
          </cell>
        </row>
        <row r="1277">
          <cell r="B1277">
            <v>2024</v>
          </cell>
          <cell r="C1277">
            <v>5</v>
          </cell>
          <cell r="E1277" t="str">
            <v>HOU</v>
          </cell>
          <cell r="I1277">
            <v>23</v>
          </cell>
          <cell r="J1277">
            <v>20</v>
          </cell>
          <cell r="L1277">
            <v>0</v>
          </cell>
        </row>
        <row r="1278">
          <cell r="B1278">
            <v>2024</v>
          </cell>
          <cell r="C1278">
            <v>6</v>
          </cell>
          <cell r="E1278" t="str">
            <v>HOU</v>
          </cell>
          <cell r="I1278">
            <v>41</v>
          </cell>
          <cell r="J1278">
            <v>21</v>
          </cell>
          <cell r="L1278">
            <v>0</v>
          </cell>
        </row>
        <row r="1279">
          <cell r="B1279">
            <v>2024</v>
          </cell>
          <cell r="C1279">
            <v>7</v>
          </cell>
          <cell r="E1279" t="str">
            <v>HOU</v>
          </cell>
          <cell r="I1279">
            <v>22</v>
          </cell>
          <cell r="J1279">
            <v>24</v>
          </cell>
          <cell r="L1279">
            <v>0</v>
          </cell>
        </row>
        <row r="1280">
          <cell r="B1280">
            <v>2024</v>
          </cell>
          <cell r="C1280">
            <v>8</v>
          </cell>
          <cell r="E1280" t="str">
            <v>HOU</v>
          </cell>
          <cell r="I1280">
            <v>23</v>
          </cell>
          <cell r="J1280">
            <v>20</v>
          </cell>
          <cell r="L1280">
            <v>0</v>
          </cell>
        </row>
        <row r="1281">
          <cell r="B1281">
            <v>2024</v>
          </cell>
          <cell r="C1281">
            <v>9</v>
          </cell>
          <cell r="E1281" t="str">
            <v>HOU</v>
          </cell>
          <cell r="I1281">
            <v>13</v>
          </cell>
          <cell r="J1281">
            <v>21</v>
          </cell>
          <cell r="L1281">
            <v>0</v>
          </cell>
        </row>
        <row r="1282">
          <cell r="B1282">
            <v>2024</v>
          </cell>
          <cell r="C1282">
            <v>10</v>
          </cell>
          <cell r="E1282" t="str">
            <v>HOU</v>
          </cell>
          <cell r="I1282">
            <v>23</v>
          </cell>
          <cell r="J1282">
            <v>26</v>
          </cell>
          <cell r="L1282">
            <v>0</v>
          </cell>
        </row>
        <row r="1283">
          <cell r="B1283">
            <v>2024</v>
          </cell>
          <cell r="C1283">
            <v>11</v>
          </cell>
          <cell r="E1283" t="str">
            <v>HOU</v>
          </cell>
          <cell r="I1283">
            <v>34</v>
          </cell>
          <cell r="J1283">
            <v>10</v>
          </cell>
          <cell r="L1283">
            <v>0</v>
          </cell>
        </row>
        <row r="1284">
          <cell r="B1284">
            <v>2024</v>
          </cell>
          <cell r="C1284">
            <v>12</v>
          </cell>
          <cell r="E1284" t="str">
            <v>HOU</v>
          </cell>
          <cell r="I1284">
            <v>27</v>
          </cell>
          <cell r="J1284">
            <v>32</v>
          </cell>
          <cell r="L1284">
            <v>0</v>
          </cell>
        </row>
        <row r="1285">
          <cell r="B1285">
            <v>2024</v>
          </cell>
          <cell r="C1285">
            <v>13</v>
          </cell>
          <cell r="E1285" t="str">
            <v>HOU</v>
          </cell>
          <cell r="I1285">
            <v>23</v>
          </cell>
          <cell r="J1285">
            <v>20</v>
          </cell>
          <cell r="L1285">
            <v>0</v>
          </cell>
        </row>
        <row r="1286">
          <cell r="B1286">
            <v>2024</v>
          </cell>
          <cell r="C1286">
            <v>15</v>
          </cell>
          <cell r="E1286" t="str">
            <v>HOU</v>
          </cell>
          <cell r="I1286">
            <v>20</v>
          </cell>
          <cell r="J1286">
            <v>12</v>
          </cell>
          <cell r="L1286">
            <v>0</v>
          </cell>
        </row>
        <row r="1287">
          <cell r="B1287">
            <v>2024</v>
          </cell>
          <cell r="C1287">
            <v>16</v>
          </cell>
          <cell r="E1287" t="str">
            <v>HOU</v>
          </cell>
          <cell r="I1287">
            <v>19</v>
          </cell>
          <cell r="J1287">
            <v>27</v>
          </cell>
          <cell r="L1287">
            <v>0</v>
          </cell>
        </row>
        <row r="1288">
          <cell r="B1288">
            <v>2024</v>
          </cell>
          <cell r="C1288">
            <v>17</v>
          </cell>
          <cell r="E1288" t="str">
            <v>HOU</v>
          </cell>
          <cell r="I1288">
            <v>2</v>
          </cell>
          <cell r="J1288">
            <v>31</v>
          </cell>
          <cell r="L1288">
            <v>0</v>
          </cell>
        </row>
        <row r="1289">
          <cell r="B1289">
            <v>2024</v>
          </cell>
          <cell r="C1289">
            <v>18</v>
          </cell>
          <cell r="E1289" t="str">
            <v>HOU</v>
          </cell>
          <cell r="I1289">
            <v>23</v>
          </cell>
          <cell r="J1289">
            <v>14</v>
          </cell>
          <cell r="L1289">
            <v>0</v>
          </cell>
        </row>
        <row r="1290">
          <cell r="B1290">
            <v>2024</v>
          </cell>
          <cell r="C1290">
            <v>1</v>
          </cell>
          <cell r="E1290" t="str">
            <v>HOU</v>
          </cell>
          <cell r="I1290">
            <v>32</v>
          </cell>
          <cell r="J1290">
            <v>12</v>
          </cell>
          <cell r="L1290">
            <v>1</v>
          </cell>
        </row>
        <row r="1291">
          <cell r="B1291">
            <v>2024</v>
          </cell>
          <cell r="C1291">
            <v>2</v>
          </cell>
          <cell r="E1291" t="str">
            <v>HOU</v>
          </cell>
          <cell r="I1291">
            <v>14</v>
          </cell>
          <cell r="J1291">
            <v>23</v>
          </cell>
          <cell r="L1291">
            <v>1</v>
          </cell>
        </row>
        <row r="1292">
          <cell r="B1292">
            <v>2025</v>
          </cell>
          <cell r="C1292">
            <v>1</v>
          </cell>
          <cell r="E1292" t="str">
            <v>HOU</v>
          </cell>
          <cell r="I1292">
            <v>9</v>
          </cell>
          <cell r="J1292">
            <v>14</v>
          </cell>
          <cell r="L1292">
            <v>0</v>
          </cell>
        </row>
        <row r="1293">
          <cell r="B1293">
            <v>2025</v>
          </cell>
          <cell r="C1293">
            <v>2</v>
          </cell>
          <cell r="E1293" t="str">
            <v>HOU</v>
          </cell>
          <cell r="I1293">
            <v>19</v>
          </cell>
          <cell r="J1293">
            <v>20</v>
          </cell>
          <cell r="L1293">
            <v>0</v>
          </cell>
        </row>
        <row r="1294">
          <cell r="B1294">
            <v>2025</v>
          </cell>
          <cell r="C1294">
            <v>3</v>
          </cell>
          <cell r="E1294" t="str">
            <v>HOU</v>
          </cell>
          <cell r="I1294">
            <v>10</v>
          </cell>
          <cell r="J1294">
            <v>17</v>
          </cell>
          <cell r="L1294">
            <v>0</v>
          </cell>
        </row>
        <row r="1295">
          <cell r="B1295">
            <v>2025</v>
          </cell>
          <cell r="C1295">
            <v>4</v>
          </cell>
          <cell r="E1295" t="str">
            <v>HOU</v>
          </cell>
          <cell r="I1295">
            <v>26</v>
          </cell>
          <cell r="J1295">
            <v>0</v>
          </cell>
          <cell r="L1295">
            <v>0</v>
          </cell>
        </row>
        <row r="1296">
          <cell r="B1296">
            <v>2025</v>
          </cell>
          <cell r="C1296">
            <v>5</v>
          </cell>
          <cell r="E1296" t="str">
            <v>HOU</v>
          </cell>
          <cell r="I1296">
            <v>44</v>
          </cell>
          <cell r="J1296">
            <v>10</v>
          </cell>
          <cell r="L1296">
            <v>0</v>
          </cell>
        </row>
        <row r="1297">
          <cell r="B1297">
            <v>2025</v>
          </cell>
          <cell r="C1297">
            <v>7</v>
          </cell>
          <cell r="E1297" t="str">
            <v>HOU</v>
          </cell>
          <cell r="I1297">
            <v>19</v>
          </cell>
          <cell r="J1297">
            <v>27</v>
          </cell>
          <cell r="L1297">
            <v>0</v>
          </cell>
        </row>
        <row r="1298">
          <cell r="B1298">
            <v>2025</v>
          </cell>
          <cell r="C1298">
            <v>8</v>
          </cell>
          <cell r="E1298" t="str">
            <v>HOU</v>
          </cell>
          <cell r="I1298">
            <v>26</v>
          </cell>
          <cell r="J1298">
            <v>15</v>
          </cell>
          <cell r="L1298">
            <v>0</v>
          </cell>
        </row>
        <row r="1299">
          <cell r="B1299">
            <v>2025</v>
          </cell>
          <cell r="C1299">
            <v>9</v>
          </cell>
          <cell r="E1299" t="str">
            <v>HOU</v>
          </cell>
          <cell r="I1299">
            <v>15</v>
          </cell>
          <cell r="J1299">
            <v>18</v>
          </cell>
          <cell r="L1299">
            <v>0</v>
          </cell>
        </row>
        <row r="1300">
          <cell r="B1300">
            <v>2025</v>
          </cell>
          <cell r="C1300">
            <v>10</v>
          </cell>
          <cell r="E1300" t="str">
            <v>HOU</v>
          </cell>
          <cell r="I1300">
            <v>36</v>
          </cell>
          <cell r="J1300">
            <v>29</v>
          </cell>
          <cell r="L1300">
            <v>0</v>
          </cell>
        </row>
        <row r="1301">
          <cell r="B1301">
            <v>2025</v>
          </cell>
          <cell r="C1301">
            <v>11</v>
          </cell>
          <cell r="E1301" t="str">
            <v>HOU</v>
          </cell>
          <cell r="I1301">
            <v>16</v>
          </cell>
          <cell r="J1301">
            <v>13</v>
          </cell>
          <cell r="L1301">
            <v>0</v>
          </cell>
        </row>
        <row r="1302">
          <cell r="B1302">
            <v>2025</v>
          </cell>
          <cell r="C1302">
            <v>12</v>
          </cell>
          <cell r="E1302" t="str">
            <v>HOU</v>
          </cell>
          <cell r="I1302">
            <v>23</v>
          </cell>
          <cell r="J1302">
            <v>19</v>
          </cell>
          <cell r="L1302">
            <v>0</v>
          </cell>
        </row>
        <row r="1303">
          <cell r="B1303">
            <v>2025</v>
          </cell>
          <cell r="C1303">
            <v>13</v>
          </cell>
          <cell r="E1303" t="str">
            <v>HOU</v>
          </cell>
          <cell r="I1303">
            <v>20</v>
          </cell>
          <cell r="J1303">
            <v>16</v>
          </cell>
          <cell r="L1303">
            <v>0</v>
          </cell>
        </row>
        <row r="1304">
          <cell r="B1304">
            <v>2025</v>
          </cell>
          <cell r="C1304">
            <v>14</v>
          </cell>
          <cell r="E1304" t="str">
            <v>HOU</v>
          </cell>
          <cell r="I1304">
            <v>20</v>
          </cell>
          <cell r="J1304">
            <v>10</v>
          </cell>
          <cell r="L1304">
            <v>0</v>
          </cell>
        </row>
        <row r="1305">
          <cell r="B1305">
            <v>2025</v>
          </cell>
          <cell r="C1305">
            <v>15</v>
          </cell>
          <cell r="E1305" t="str">
            <v>HOU</v>
          </cell>
          <cell r="I1305">
            <v>40</v>
          </cell>
          <cell r="J1305">
            <v>20</v>
          </cell>
          <cell r="L1305">
            <v>0</v>
          </cell>
        </row>
        <row r="1306">
          <cell r="B1306">
            <v>2025</v>
          </cell>
          <cell r="C1306">
            <v>16</v>
          </cell>
          <cell r="E1306" t="str">
            <v>HOU</v>
          </cell>
          <cell r="I1306">
            <v>23</v>
          </cell>
          <cell r="J1306">
            <v>21</v>
          </cell>
          <cell r="L1306">
            <v>0</v>
          </cell>
        </row>
        <row r="1307">
          <cell r="B1307">
            <v>2025</v>
          </cell>
          <cell r="C1307">
            <v>17</v>
          </cell>
          <cell r="E1307" t="str">
            <v>HOU</v>
          </cell>
          <cell r="I1307">
            <v>20</v>
          </cell>
          <cell r="J1307">
            <v>16</v>
          </cell>
          <cell r="L1307">
            <v>0</v>
          </cell>
        </row>
        <row r="1308">
          <cell r="B1308">
            <v>2025</v>
          </cell>
          <cell r="C1308">
            <v>18</v>
          </cell>
          <cell r="E1308" t="str">
            <v>HOU</v>
          </cell>
          <cell r="I1308">
            <v>38</v>
          </cell>
          <cell r="J1308">
            <v>30</v>
          </cell>
          <cell r="L1308">
            <v>0</v>
          </cell>
        </row>
        <row r="1309">
          <cell r="B1309">
            <v>2025</v>
          </cell>
          <cell r="C1309">
            <v>1</v>
          </cell>
          <cell r="E1309" t="str">
            <v>HOU</v>
          </cell>
          <cell r="I1309">
            <v>30</v>
          </cell>
          <cell r="J1309">
            <v>6</v>
          </cell>
          <cell r="L1309">
            <v>1</v>
          </cell>
        </row>
        <row r="1310">
          <cell r="B1310">
            <v>2025</v>
          </cell>
          <cell r="C1310">
            <v>2</v>
          </cell>
          <cell r="E1310" t="str">
            <v>HOU</v>
          </cell>
          <cell r="I1310">
            <v>16</v>
          </cell>
          <cell r="J1310">
            <v>28</v>
          </cell>
          <cell r="L1310">
            <v>1</v>
          </cell>
        </row>
        <row r="1311">
          <cell r="B1311">
            <v>2026</v>
          </cell>
          <cell r="C1311">
            <v>1</v>
          </cell>
          <cell r="E1311" t="str">
            <v>HOU</v>
          </cell>
          <cell r="I1311">
            <v>31</v>
          </cell>
          <cell r="J1311">
            <v>36</v>
          </cell>
          <cell r="L1311">
            <v>0</v>
          </cell>
        </row>
        <row r="1312">
          <cell r="B1312">
            <v>2026</v>
          </cell>
          <cell r="C1312">
            <v>2</v>
          </cell>
          <cell r="E1312" t="str">
            <v>HOU</v>
          </cell>
          <cell r="I1312">
            <v>6</v>
          </cell>
          <cell r="J1312">
            <v>20</v>
          </cell>
          <cell r="L1312">
            <v>0</v>
          </cell>
        </row>
        <row r="1313">
          <cell r="B1313">
            <v>2026</v>
          </cell>
          <cell r="C1313">
            <v>3</v>
          </cell>
          <cell r="E1313" t="str">
            <v>HOU</v>
          </cell>
          <cell r="I1313">
            <v>17</v>
          </cell>
          <cell r="J1313">
            <v>19</v>
          </cell>
          <cell r="L1313">
            <v>0</v>
          </cell>
        </row>
        <row r="1314">
          <cell r="B1314">
            <v>2026</v>
          </cell>
          <cell r="C1314">
            <v>4</v>
          </cell>
          <cell r="E1314" t="str">
            <v>HOU</v>
          </cell>
          <cell r="I1314">
            <v>30</v>
          </cell>
          <cell r="J1314">
            <v>34</v>
          </cell>
          <cell r="L1314">
            <v>0</v>
          </cell>
        </row>
        <row r="1315">
          <cell r="B1315">
            <v>2026</v>
          </cell>
          <cell r="C1315">
            <v>5</v>
          </cell>
          <cell r="E1315" t="str">
            <v>HOU</v>
          </cell>
          <cell r="I1315">
            <v>26</v>
          </cell>
          <cell r="J1315">
            <v>3</v>
          </cell>
          <cell r="L1315">
            <v>0</v>
          </cell>
        </row>
        <row r="1316">
          <cell r="B1316">
            <v>2026</v>
          </cell>
          <cell r="C1316">
            <v>6</v>
          </cell>
          <cell r="E1316" t="str">
            <v>HOU</v>
          </cell>
          <cell r="I1316">
            <v>34</v>
          </cell>
          <cell r="J1316">
            <v>31</v>
          </cell>
          <cell r="L1316">
            <v>0</v>
          </cell>
        </row>
        <row r="1317">
          <cell r="B1317">
            <v>2026</v>
          </cell>
          <cell r="C1317">
            <v>7</v>
          </cell>
          <cell r="E1317" t="str">
            <v>HOU</v>
          </cell>
          <cell r="L1317">
            <v>0</v>
          </cell>
        </row>
        <row r="1318">
          <cell r="B1318">
            <v>2018</v>
          </cell>
          <cell r="C1318">
            <v>1</v>
          </cell>
          <cell r="E1318" t="str">
            <v>TEN</v>
          </cell>
          <cell r="I1318">
            <v>20</v>
          </cell>
          <cell r="J1318">
            <v>27</v>
          </cell>
          <cell r="L1318">
            <v>0</v>
          </cell>
        </row>
        <row r="1319">
          <cell r="B1319">
            <v>2018</v>
          </cell>
          <cell r="C1319">
            <v>2</v>
          </cell>
          <cell r="E1319" t="str">
            <v>TEN</v>
          </cell>
          <cell r="I1319">
            <v>20</v>
          </cell>
          <cell r="J1319">
            <v>17</v>
          </cell>
          <cell r="L1319">
            <v>0</v>
          </cell>
        </row>
        <row r="1320">
          <cell r="B1320">
            <v>2018</v>
          </cell>
          <cell r="C1320">
            <v>3</v>
          </cell>
          <cell r="E1320" t="str">
            <v>TEN</v>
          </cell>
          <cell r="I1320">
            <v>9</v>
          </cell>
          <cell r="J1320">
            <v>6</v>
          </cell>
          <cell r="L1320">
            <v>0</v>
          </cell>
        </row>
        <row r="1321">
          <cell r="B1321">
            <v>2018</v>
          </cell>
          <cell r="C1321">
            <v>4</v>
          </cell>
          <cell r="E1321" t="str">
            <v>TEN</v>
          </cell>
          <cell r="I1321">
            <v>26</v>
          </cell>
          <cell r="J1321">
            <v>23</v>
          </cell>
          <cell r="L1321">
            <v>0</v>
          </cell>
        </row>
        <row r="1322">
          <cell r="B1322">
            <v>2018</v>
          </cell>
          <cell r="C1322">
            <v>5</v>
          </cell>
          <cell r="E1322" t="str">
            <v>TEN</v>
          </cell>
          <cell r="I1322">
            <v>12</v>
          </cell>
          <cell r="J1322">
            <v>13</v>
          </cell>
          <cell r="L1322">
            <v>0</v>
          </cell>
        </row>
        <row r="1323">
          <cell r="B1323">
            <v>2018</v>
          </cell>
          <cell r="C1323">
            <v>6</v>
          </cell>
          <cell r="E1323" t="str">
            <v>TEN</v>
          </cell>
          <cell r="I1323">
            <v>0</v>
          </cell>
          <cell r="J1323">
            <v>21</v>
          </cell>
          <cell r="L1323">
            <v>0</v>
          </cell>
        </row>
        <row r="1324">
          <cell r="B1324">
            <v>2018</v>
          </cell>
          <cell r="C1324">
            <v>7</v>
          </cell>
          <cell r="E1324" t="str">
            <v>TEN</v>
          </cell>
          <cell r="I1324">
            <v>19</v>
          </cell>
          <cell r="J1324">
            <v>20</v>
          </cell>
          <cell r="L1324">
            <v>0</v>
          </cell>
        </row>
        <row r="1325">
          <cell r="B1325">
            <v>2018</v>
          </cell>
          <cell r="C1325">
            <v>9</v>
          </cell>
          <cell r="E1325" t="str">
            <v>TEN</v>
          </cell>
          <cell r="I1325">
            <v>28</v>
          </cell>
          <cell r="J1325">
            <v>14</v>
          </cell>
          <cell r="L1325">
            <v>0</v>
          </cell>
        </row>
        <row r="1326">
          <cell r="B1326">
            <v>2018</v>
          </cell>
          <cell r="C1326">
            <v>10</v>
          </cell>
          <cell r="E1326" t="str">
            <v>TEN</v>
          </cell>
          <cell r="I1326">
            <v>34</v>
          </cell>
          <cell r="J1326">
            <v>10</v>
          </cell>
          <cell r="L1326">
            <v>0</v>
          </cell>
        </row>
        <row r="1327">
          <cell r="B1327">
            <v>2018</v>
          </cell>
          <cell r="C1327">
            <v>11</v>
          </cell>
          <cell r="E1327" t="str">
            <v>TEN</v>
          </cell>
          <cell r="I1327">
            <v>10</v>
          </cell>
          <cell r="J1327">
            <v>38</v>
          </cell>
          <cell r="L1327">
            <v>0</v>
          </cell>
        </row>
        <row r="1328">
          <cell r="B1328">
            <v>2018</v>
          </cell>
          <cell r="C1328">
            <v>12</v>
          </cell>
          <cell r="E1328" t="str">
            <v>TEN</v>
          </cell>
          <cell r="I1328">
            <v>17</v>
          </cell>
          <cell r="J1328">
            <v>34</v>
          </cell>
          <cell r="L1328">
            <v>0</v>
          </cell>
        </row>
        <row r="1329">
          <cell r="B1329">
            <v>2018</v>
          </cell>
          <cell r="C1329">
            <v>13</v>
          </cell>
          <cell r="E1329" t="str">
            <v>TEN</v>
          </cell>
          <cell r="I1329">
            <v>26</v>
          </cell>
          <cell r="J1329">
            <v>22</v>
          </cell>
          <cell r="L1329">
            <v>0</v>
          </cell>
        </row>
        <row r="1330">
          <cell r="B1330">
            <v>2018</v>
          </cell>
          <cell r="C1330">
            <v>14</v>
          </cell>
          <cell r="E1330" t="str">
            <v>TEN</v>
          </cell>
          <cell r="I1330">
            <v>30</v>
          </cell>
          <cell r="J1330">
            <v>9</v>
          </cell>
          <cell r="L1330">
            <v>0</v>
          </cell>
        </row>
        <row r="1331">
          <cell r="B1331">
            <v>2018</v>
          </cell>
          <cell r="C1331">
            <v>15</v>
          </cell>
          <cell r="E1331" t="str">
            <v>TEN</v>
          </cell>
          <cell r="I1331">
            <v>17</v>
          </cell>
          <cell r="J1331">
            <v>0</v>
          </cell>
          <cell r="L1331">
            <v>0</v>
          </cell>
        </row>
        <row r="1332">
          <cell r="B1332">
            <v>2018</v>
          </cell>
          <cell r="C1332">
            <v>16</v>
          </cell>
          <cell r="E1332" t="str">
            <v>TEN</v>
          </cell>
          <cell r="I1332">
            <v>25</v>
          </cell>
          <cell r="J1332">
            <v>16</v>
          </cell>
          <cell r="L1332">
            <v>0</v>
          </cell>
        </row>
        <row r="1333">
          <cell r="B1333">
            <v>2018</v>
          </cell>
          <cell r="C1333">
            <v>17</v>
          </cell>
          <cell r="E1333" t="str">
            <v>TEN</v>
          </cell>
          <cell r="I1333">
            <v>17</v>
          </cell>
          <cell r="J1333">
            <v>33</v>
          </cell>
          <cell r="L1333">
            <v>0</v>
          </cell>
        </row>
        <row r="1334">
          <cell r="B1334">
            <v>2019</v>
          </cell>
          <cell r="C1334">
            <v>1</v>
          </cell>
          <cell r="E1334" t="str">
            <v>TEN</v>
          </cell>
          <cell r="I1334">
            <v>43</v>
          </cell>
          <cell r="J1334">
            <v>13</v>
          </cell>
          <cell r="L1334">
            <v>0</v>
          </cell>
        </row>
        <row r="1335">
          <cell r="B1335">
            <v>2019</v>
          </cell>
          <cell r="C1335">
            <v>2</v>
          </cell>
          <cell r="E1335" t="str">
            <v>TEN</v>
          </cell>
          <cell r="I1335">
            <v>17</v>
          </cell>
          <cell r="J1335">
            <v>19</v>
          </cell>
          <cell r="L1335">
            <v>0</v>
          </cell>
        </row>
        <row r="1336">
          <cell r="B1336">
            <v>2019</v>
          </cell>
          <cell r="C1336">
            <v>3</v>
          </cell>
          <cell r="E1336" t="str">
            <v>TEN</v>
          </cell>
          <cell r="I1336">
            <v>7</v>
          </cell>
          <cell r="J1336">
            <v>20</v>
          </cell>
          <cell r="L1336">
            <v>0</v>
          </cell>
        </row>
        <row r="1337">
          <cell r="B1337">
            <v>2019</v>
          </cell>
          <cell r="C1337">
            <v>4</v>
          </cell>
          <cell r="E1337" t="str">
            <v>TEN</v>
          </cell>
          <cell r="I1337">
            <v>24</v>
          </cell>
          <cell r="J1337">
            <v>10</v>
          </cell>
          <cell r="L1337">
            <v>0</v>
          </cell>
        </row>
        <row r="1338">
          <cell r="B1338">
            <v>2019</v>
          </cell>
          <cell r="C1338">
            <v>5</v>
          </cell>
          <cell r="E1338" t="str">
            <v>TEN</v>
          </cell>
          <cell r="I1338">
            <v>7</v>
          </cell>
          <cell r="J1338">
            <v>14</v>
          </cell>
          <cell r="L1338">
            <v>0</v>
          </cell>
        </row>
        <row r="1339">
          <cell r="B1339">
            <v>2019</v>
          </cell>
          <cell r="C1339">
            <v>6</v>
          </cell>
          <cell r="E1339" t="str">
            <v>TEN</v>
          </cell>
          <cell r="I1339">
            <v>0</v>
          </cell>
          <cell r="J1339">
            <v>16</v>
          </cell>
          <cell r="L1339">
            <v>0</v>
          </cell>
        </row>
        <row r="1340">
          <cell r="B1340">
            <v>2019</v>
          </cell>
          <cell r="C1340">
            <v>7</v>
          </cell>
          <cell r="E1340" t="str">
            <v>TEN</v>
          </cell>
          <cell r="I1340">
            <v>23</v>
          </cell>
          <cell r="J1340">
            <v>20</v>
          </cell>
          <cell r="L1340">
            <v>0</v>
          </cell>
        </row>
        <row r="1341">
          <cell r="B1341">
            <v>2019</v>
          </cell>
          <cell r="C1341">
            <v>8</v>
          </cell>
          <cell r="E1341" t="str">
            <v>TEN</v>
          </cell>
          <cell r="I1341">
            <v>27</v>
          </cell>
          <cell r="J1341">
            <v>23</v>
          </cell>
          <cell r="L1341">
            <v>0</v>
          </cell>
        </row>
        <row r="1342">
          <cell r="B1342">
            <v>2019</v>
          </cell>
          <cell r="C1342">
            <v>9</v>
          </cell>
          <cell r="E1342" t="str">
            <v>TEN</v>
          </cell>
          <cell r="I1342">
            <v>20</v>
          </cell>
          <cell r="J1342">
            <v>30</v>
          </cell>
          <cell r="L1342">
            <v>0</v>
          </cell>
        </row>
        <row r="1343">
          <cell r="B1343">
            <v>2019</v>
          </cell>
          <cell r="C1343">
            <v>10</v>
          </cell>
          <cell r="E1343" t="str">
            <v>TEN</v>
          </cell>
          <cell r="I1343">
            <v>35</v>
          </cell>
          <cell r="J1343">
            <v>32</v>
          </cell>
          <cell r="L1343">
            <v>0</v>
          </cell>
        </row>
        <row r="1344">
          <cell r="B1344">
            <v>2019</v>
          </cell>
          <cell r="C1344">
            <v>12</v>
          </cell>
          <cell r="E1344" t="str">
            <v>TEN</v>
          </cell>
          <cell r="I1344">
            <v>42</v>
          </cell>
          <cell r="J1344">
            <v>20</v>
          </cell>
          <cell r="L1344">
            <v>0</v>
          </cell>
        </row>
        <row r="1345">
          <cell r="B1345">
            <v>2019</v>
          </cell>
          <cell r="C1345">
            <v>13</v>
          </cell>
          <cell r="E1345" t="str">
            <v>TEN</v>
          </cell>
          <cell r="I1345">
            <v>31</v>
          </cell>
          <cell r="J1345">
            <v>17</v>
          </cell>
          <cell r="L1345">
            <v>0</v>
          </cell>
        </row>
        <row r="1346">
          <cell r="B1346">
            <v>2019</v>
          </cell>
          <cell r="C1346">
            <v>14</v>
          </cell>
          <cell r="E1346" t="str">
            <v>TEN</v>
          </cell>
          <cell r="I1346">
            <v>42</v>
          </cell>
          <cell r="J1346">
            <v>21</v>
          </cell>
          <cell r="L1346">
            <v>0</v>
          </cell>
        </row>
        <row r="1347">
          <cell r="B1347">
            <v>2019</v>
          </cell>
          <cell r="C1347">
            <v>15</v>
          </cell>
          <cell r="E1347" t="str">
            <v>TEN</v>
          </cell>
          <cell r="I1347">
            <v>21</v>
          </cell>
          <cell r="J1347">
            <v>24</v>
          </cell>
          <cell r="L1347">
            <v>0</v>
          </cell>
        </row>
        <row r="1348">
          <cell r="B1348">
            <v>2019</v>
          </cell>
          <cell r="C1348">
            <v>16</v>
          </cell>
          <cell r="E1348" t="str">
            <v>TEN</v>
          </cell>
          <cell r="I1348">
            <v>28</v>
          </cell>
          <cell r="J1348">
            <v>38</v>
          </cell>
          <cell r="L1348">
            <v>0</v>
          </cell>
        </row>
        <row r="1349">
          <cell r="B1349">
            <v>2019</v>
          </cell>
          <cell r="C1349">
            <v>17</v>
          </cell>
          <cell r="E1349" t="str">
            <v>TEN</v>
          </cell>
          <cell r="I1349">
            <v>35</v>
          </cell>
          <cell r="J1349">
            <v>14</v>
          </cell>
          <cell r="L1349">
            <v>0</v>
          </cell>
        </row>
        <row r="1350">
          <cell r="B1350">
            <v>2019</v>
          </cell>
          <cell r="C1350">
            <v>1</v>
          </cell>
          <cell r="E1350" t="str">
            <v>TEN</v>
          </cell>
          <cell r="I1350">
            <v>20</v>
          </cell>
          <cell r="J1350">
            <v>13</v>
          </cell>
          <cell r="L1350">
            <v>1</v>
          </cell>
        </row>
        <row r="1351">
          <cell r="B1351">
            <v>2019</v>
          </cell>
          <cell r="C1351">
            <v>2</v>
          </cell>
          <cell r="E1351" t="str">
            <v>TEN</v>
          </cell>
          <cell r="I1351">
            <v>28</v>
          </cell>
          <cell r="J1351">
            <v>12</v>
          </cell>
          <cell r="L1351">
            <v>1</v>
          </cell>
        </row>
        <row r="1352">
          <cell r="B1352">
            <v>2019</v>
          </cell>
          <cell r="C1352">
            <v>3</v>
          </cell>
          <cell r="E1352" t="str">
            <v>TEN</v>
          </cell>
          <cell r="I1352">
            <v>24</v>
          </cell>
          <cell r="J1352">
            <v>35</v>
          </cell>
          <cell r="L1352">
            <v>1</v>
          </cell>
        </row>
        <row r="1353">
          <cell r="B1353">
            <v>2020</v>
          </cell>
          <cell r="C1353">
            <v>1</v>
          </cell>
          <cell r="E1353" t="str">
            <v>TEN</v>
          </cell>
          <cell r="I1353">
            <v>16</v>
          </cell>
          <cell r="J1353">
            <v>14</v>
          </cell>
          <cell r="L1353">
            <v>0</v>
          </cell>
        </row>
        <row r="1354">
          <cell r="B1354">
            <v>2020</v>
          </cell>
          <cell r="C1354">
            <v>2</v>
          </cell>
          <cell r="E1354" t="str">
            <v>TEN</v>
          </cell>
          <cell r="I1354">
            <v>33</v>
          </cell>
          <cell r="J1354">
            <v>30</v>
          </cell>
          <cell r="L1354">
            <v>0</v>
          </cell>
        </row>
        <row r="1355">
          <cell r="B1355">
            <v>2020</v>
          </cell>
          <cell r="C1355">
            <v>3</v>
          </cell>
          <cell r="E1355" t="str">
            <v>TEN</v>
          </cell>
          <cell r="I1355">
            <v>31</v>
          </cell>
          <cell r="J1355">
            <v>30</v>
          </cell>
          <cell r="L1355">
            <v>0</v>
          </cell>
        </row>
        <row r="1356">
          <cell r="B1356">
            <v>2020</v>
          </cell>
          <cell r="C1356">
            <v>5</v>
          </cell>
          <cell r="E1356" t="str">
            <v>TEN</v>
          </cell>
          <cell r="I1356">
            <v>42</v>
          </cell>
          <cell r="J1356">
            <v>16</v>
          </cell>
          <cell r="L1356">
            <v>0</v>
          </cell>
        </row>
        <row r="1357">
          <cell r="B1357">
            <v>2020</v>
          </cell>
          <cell r="C1357">
            <v>6</v>
          </cell>
          <cell r="E1357" t="str">
            <v>TEN</v>
          </cell>
          <cell r="I1357">
            <v>42</v>
          </cell>
          <cell r="J1357">
            <v>36</v>
          </cell>
          <cell r="L1357">
            <v>0</v>
          </cell>
        </row>
        <row r="1358">
          <cell r="B1358">
            <v>2020</v>
          </cell>
          <cell r="C1358">
            <v>7</v>
          </cell>
          <cell r="E1358" t="str">
            <v>TEN</v>
          </cell>
          <cell r="I1358">
            <v>24</v>
          </cell>
          <cell r="J1358">
            <v>27</v>
          </cell>
          <cell r="L1358">
            <v>0</v>
          </cell>
        </row>
        <row r="1359">
          <cell r="B1359">
            <v>2020</v>
          </cell>
          <cell r="C1359">
            <v>8</v>
          </cell>
          <cell r="E1359" t="str">
            <v>TEN</v>
          </cell>
          <cell r="I1359">
            <v>20</v>
          </cell>
          <cell r="J1359">
            <v>31</v>
          </cell>
          <cell r="L1359">
            <v>0</v>
          </cell>
        </row>
        <row r="1360">
          <cell r="B1360">
            <v>2020</v>
          </cell>
          <cell r="C1360">
            <v>9</v>
          </cell>
          <cell r="E1360" t="str">
            <v>TEN</v>
          </cell>
          <cell r="I1360">
            <v>24</v>
          </cell>
          <cell r="J1360">
            <v>17</v>
          </cell>
          <cell r="L1360">
            <v>0</v>
          </cell>
        </row>
        <row r="1361">
          <cell r="B1361">
            <v>2020</v>
          </cell>
          <cell r="C1361">
            <v>10</v>
          </cell>
          <cell r="E1361" t="str">
            <v>TEN</v>
          </cell>
          <cell r="I1361">
            <v>17</v>
          </cell>
          <cell r="J1361">
            <v>34</v>
          </cell>
          <cell r="L1361">
            <v>0</v>
          </cell>
        </row>
        <row r="1362">
          <cell r="B1362">
            <v>2020</v>
          </cell>
          <cell r="C1362">
            <v>11</v>
          </cell>
          <cell r="E1362" t="str">
            <v>TEN</v>
          </cell>
          <cell r="I1362">
            <v>30</v>
          </cell>
          <cell r="J1362">
            <v>24</v>
          </cell>
          <cell r="L1362">
            <v>0</v>
          </cell>
        </row>
        <row r="1363">
          <cell r="B1363">
            <v>2020</v>
          </cell>
          <cell r="C1363">
            <v>12</v>
          </cell>
          <cell r="E1363" t="str">
            <v>TEN</v>
          </cell>
          <cell r="I1363">
            <v>45</v>
          </cell>
          <cell r="J1363">
            <v>26</v>
          </cell>
          <cell r="L1363">
            <v>0</v>
          </cell>
        </row>
        <row r="1364">
          <cell r="B1364">
            <v>2020</v>
          </cell>
          <cell r="C1364">
            <v>13</v>
          </cell>
          <cell r="E1364" t="str">
            <v>TEN</v>
          </cell>
          <cell r="I1364">
            <v>35</v>
          </cell>
          <cell r="J1364">
            <v>41</v>
          </cell>
          <cell r="L1364">
            <v>0</v>
          </cell>
        </row>
        <row r="1365">
          <cell r="B1365">
            <v>2020</v>
          </cell>
          <cell r="C1365">
            <v>14</v>
          </cell>
          <cell r="E1365" t="str">
            <v>TEN</v>
          </cell>
          <cell r="I1365">
            <v>31</v>
          </cell>
          <cell r="J1365">
            <v>10</v>
          </cell>
          <cell r="L1365">
            <v>0</v>
          </cell>
        </row>
        <row r="1366">
          <cell r="B1366">
            <v>2020</v>
          </cell>
          <cell r="C1366">
            <v>15</v>
          </cell>
          <cell r="E1366" t="str">
            <v>TEN</v>
          </cell>
          <cell r="I1366">
            <v>46</v>
          </cell>
          <cell r="J1366">
            <v>25</v>
          </cell>
          <cell r="L1366">
            <v>0</v>
          </cell>
        </row>
        <row r="1367">
          <cell r="B1367">
            <v>2020</v>
          </cell>
          <cell r="C1367">
            <v>16</v>
          </cell>
          <cell r="E1367" t="str">
            <v>TEN</v>
          </cell>
          <cell r="I1367">
            <v>14</v>
          </cell>
          <cell r="J1367">
            <v>40</v>
          </cell>
          <cell r="L1367">
            <v>0</v>
          </cell>
        </row>
        <row r="1368">
          <cell r="B1368">
            <v>2020</v>
          </cell>
          <cell r="C1368">
            <v>17</v>
          </cell>
          <cell r="E1368" t="str">
            <v>TEN</v>
          </cell>
          <cell r="I1368">
            <v>41</v>
          </cell>
          <cell r="J1368">
            <v>38</v>
          </cell>
          <cell r="L1368">
            <v>0</v>
          </cell>
        </row>
        <row r="1369">
          <cell r="B1369">
            <v>2020</v>
          </cell>
          <cell r="C1369">
            <v>1</v>
          </cell>
          <cell r="E1369" t="str">
            <v>TEN</v>
          </cell>
          <cell r="I1369">
            <v>13</v>
          </cell>
          <cell r="J1369">
            <v>20</v>
          </cell>
          <cell r="L1369">
            <v>1</v>
          </cell>
        </row>
        <row r="1370">
          <cell r="B1370">
            <v>2021</v>
          </cell>
          <cell r="C1370">
            <v>1</v>
          </cell>
          <cell r="E1370" t="str">
            <v>TEN</v>
          </cell>
          <cell r="I1370">
            <v>13</v>
          </cell>
          <cell r="J1370">
            <v>38</v>
          </cell>
          <cell r="L1370">
            <v>0</v>
          </cell>
        </row>
        <row r="1371">
          <cell r="B1371">
            <v>2021</v>
          </cell>
          <cell r="C1371">
            <v>2</v>
          </cell>
          <cell r="E1371" t="str">
            <v>TEN</v>
          </cell>
          <cell r="I1371">
            <v>33</v>
          </cell>
          <cell r="J1371">
            <v>30</v>
          </cell>
          <cell r="L1371">
            <v>0</v>
          </cell>
        </row>
        <row r="1372">
          <cell r="B1372">
            <v>2021</v>
          </cell>
          <cell r="C1372">
            <v>3</v>
          </cell>
          <cell r="E1372" t="str">
            <v>TEN</v>
          </cell>
          <cell r="I1372">
            <v>25</v>
          </cell>
          <cell r="J1372">
            <v>16</v>
          </cell>
          <cell r="L1372">
            <v>0</v>
          </cell>
        </row>
        <row r="1373">
          <cell r="B1373">
            <v>2021</v>
          </cell>
          <cell r="C1373">
            <v>4</v>
          </cell>
          <cell r="E1373" t="str">
            <v>TEN</v>
          </cell>
          <cell r="I1373">
            <v>24</v>
          </cell>
          <cell r="J1373">
            <v>27</v>
          </cell>
          <cell r="L1373">
            <v>0</v>
          </cell>
        </row>
        <row r="1374">
          <cell r="B1374">
            <v>2021</v>
          </cell>
          <cell r="C1374">
            <v>5</v>
          </cell>
          <cell r="E1374" t="str">
            <v>TEN</v>
          </cell>
          <cell r="I1374">
            <v>37</v>
          </cell>
          <cell r="J1374">
            <v>19</v>
          </cell>
          <cell r="L1374">
            <v>0</v>
          </cell>
        </row>
        <row r="1375">
          <cell r="B1375">
            <v>2021</v>
          </cell>
          <cell r="C1375">
            <v>6</v>
          </cell>
          <cell r="E1375" t="str">
            <v>TEN</v>
          </cell>
          <cell r="I1375">
            <v>34</v>
          </cell>
          <cell r="J1375">
            <v>31</v>
          </cell>
          <cell r="L1375">
            <v>0</v>
          </cell>
        </row>
        <row r="1376">
          <cell r="B1376">
            <v>2021</v>
          </cell>
          <cell r="C1376">
            <v>7</v>
          </cell>
          <cell r="E1376" t="str">
            <v>TEN</v>
          </cell>
          <cell r="I1376">
            <v>27</v>
          </cell>
          <cell r="J1376">
            <v>3</v>
          </cell>
          <cell r="L1376">
            <v>0</v>
          </cell>
        </row>
        <row r="1377">
          <cell r="B1377">
            <v>2021</v>
          </cell>
          <cell r="C1377">
            <v>8</v>
          </cell>
          <cell r="E1377" t="str">
            <v>TEN</v>
          </cell>
          <cell r="I1377">
            <v>34</v>
          </cell>
          <cell r="J1377">
            <v>31</v>
          </cell>
          <cell r="L1377">
            <v>0</v>
          </cell>
        </row>
        <row r="1378">
          <cell r="B1378">
            <v>2021</v>
          </cell>
          <cell r="C1378">
            <v>9</v>
          </cell>
          <cell r="E1378" t="str">
            <v>TEN</v>
          </cell>
          <cell r="I1378">
            <v>28</v>
          </cell>
          <cell r="J1378">
            <v>16</v>
          </cell>
          <cell r="L1378">
            <v>0</v>
          </cell>
        </row>
        <row r="1379">
          <cell r="B1379">
            <v>2021</v>
          </cell>
          <cell r="C1379">
            <v>10</v>
          </cell>
          <cell r="E1379" t="str">
            <v>TEN</v>
          </cell>
          <cell r="I1379">
            <v>23</v>
          </cell>
          <cell r="J1379">
            <v>21</v>
          </cell>
          <cell r="L1379">
            <v>0</v>
          </cell>
        </row>
        <row r="1380">
          <cell r="B1380">
            <v>2021</v>
          </cell>
          <cell r="C1380">
            <v>11</v>
          </cell>
          <cell r="E1380" t="str">
            <v>TEN</v>
          </cell>
          <cell r="I1380">
            <v>13</v>
          </cell>
          <cell r="J1380">
            <v>22</v>
          </cell>
          <cell r="L1380">
            <v>0</v>
          </cell>
        </row>
        <row r="1381">
          <cell r="B1381">
            <v>2021</v>
          </cell>
          <cell r="C1381">
            <v>12</v>
          </cell>
          <cell r="E1381" t="str">
            <v>TEN</v>
          </cell>
          <cell r="I1381">
            <v>13</v>
          </cell>
          <cell r="J1381">
            <v>36</v>
          </cell>
          <cell r="L1381">
            <v>0</v>
          </cell>
        </row>
        <row r="1382">
          <cell r="B1382">
            <v>2021</v>
          </cell>
          <cell r="C1382">
            <v>14</v>
          </cell>
          <cell r="E1382" t="str">
            <v>TEN</v>
          </cell>
          <cell r="I1382">
            <v>20</v>
          </cell>
          <cell r="J1382">
            <v>0</v>
          </cell>
          <cell r="L1382">
            <v>0</v>
          </cell>
        </row>
        <row r="1383">
          <cell r="B1383">
            <v>2021</v>
          </cell>
          <cell r="C1383">
            <v>15</v>
          </cell>
          <cell r="E1383" t="str">
            <v>TEN</v>
          </cell>
          <cell r="I1383">
            <v>13</v>
          </cell>
          <cell r="J1383">
            <v>19</v>
          </cell>
          <cell r="L1383">
            <v>0</v>
          </cell>
        </row>
        <row r="1384">
          <cell r="B1384">
            <v>2021</v>
          </cell>
          <cell r="C1384">
            <v>16</v>
          </cell>
          <cell r="E1384" t="str">
            <v>TEN</v>
          </cell>
          <cell r="I1384">
            <v>20</v>
          </cell>
          <cell r="J1384">
            <v>17</v>
          </cell>
          <cell r="L1384">
            <v>0</v>
          </cell>
        </row>
        <row r="1385">
          <cell r="B1385">
            <v>2021</v>
          </cell>
          <cell r="C1385">
            <v>17</v>
          </cell>
          <cell r="E1385" t="str">
            <v>TEN</v>
          </cell>
          <cell r="I1385">
            <v>34</v>
          </cell>
          <cell r="J1385">
            <v>3</v>
          </cell>
          <cell r="L1385">
            <v>0</v>
          </cell>
        </row>
        <row r="1386">
          <cell r="B1386">
            <v>2021</v>
          </cell>
          <cell r="C1386">
            <v>18</v>
          </cell>
          <cell r="E1386" t="str">
            <v>TEN</v>
          </cell>
          <cell r="I1386">
            <v>28</v>
          </cell>
          <cell r="J1386">
            <v>25</v>
          </cell>
          <cell r="L1386">
            <v>0</v>
          </cell>
        </row>
        <row r="1387">
          <cell r="B1387">
            <v>2021</v>
          </cell>
          <cell r="C1387">
            <v>2</v>
          </cell>
          <cell r="E1387" t="str">
            <v>TEN</v>
          </cell>
          <cell r="I1387">
            <v>16</v>
          </cell>
          <cell r="J1387">
            <v>19</v>
          </cell>
          <cell r="L1387">
            <v>1</v>
          </cell>
        </row>
        <row r="1388">
          <cell r="B1388">
            <v>2022</v>
          </cell>
          <cell r="C1388">
            <v>1</v>
          </cell>
          <cell r="E1388" t="str">
            <v>TEN</v>
          </cell>
          <cell r="I1388">
            <v>20</v>
          </cell>
          <cell r="J1388">
            <v>21</v>
          </cell>
          <cell r="L1388">
            <v>0</v>
          </cell>
        </row>
        <row r="1389">
          <cell r="B1389">
            <v>2022</v>
          </cell>
          <cell r="C1389">
            <v>2</v>
          </cell>
          <cell r="E1389" t="str">
            <v>TEN</v>
          </cell>
          <cell r="I1389">
            <v>7</v>
          </cell>
          <cell r="J1389">
            <v>41</v>
          </cell>
          <cell r="L1389">
            <v>0</v>
          </cell>
        </row>
        <row r="1390">
          <cell r="B1390">
            <v>2022</v>
          </cell>
          <cell r="C1390">
            <v>3</v>
          </cell>
          <cell r="E1390" t="str">
            <v>TEN</v>
          </cell>
          <cell r="I1390">
            <v>24</v>
          </cell>
          <cell r="J1390">
            <v>22</v>
          </cell>
          <cell r="L1390">
            <v>0</v>
          </cell>
        </row>
        <row r="1391">
          <cell r="B1391">
            <v>2022</v>
          </cell>
          <cell r="C1391">
            <v>4</v>
          </cell>
          <cell r="E1391" t="str">
            <v>TEN</v>
          </cell>
          <cell r="I1391">
            <v>24</v>
          </cell>
          <cell r="J1391">
            <v>17</v>
          </cell>
          <cell r="L1391">
            <v>0</v>
          </cell>
        </row>
        <row r="1392">
          <cell r="B1392">
            <v>2022</v>
          </cell>
          <cell r="C1392">
            <v>5</v>
          </cell>
          <cell r="E1392" t="str">
            <v>TEN</v>
          </cell>
          <cell r="I1392">
            <v>21</v>
          </cell>
          <cell r="J1392">
            <v>17</v>
          </cell>
          <cell r="L1392">
            <v>0</v>
          </cell>
        </row>
        <row r="1393">
          <cell r="B1393">
            <v>2022</v>
          </cell>
          <cell r="C1393">
            <v>7</v>
          </cell>
          <cell r="E1393" t="str">
            <v>TEN</v>
          </cell>
          <cell r="I1393">
            <v>19</v>
          </cell>
          <cell r="J1393">
            <v>10</v>
          </cell>
          <cell r="L1393">
            <v>0</v>
          </cell>
        </row>
        <row r="1394">
          <cell r="B1394">
            <v>2022</v>
          </cell>
          <cell r="C1394">
            <v>8</v>
          </cell>
          <cell r="E1394" t="str">
            <v>TEN</v>
          </cell>
          <cell r="I1394">
            <v>17</v>
          </cell>
          <cell r="J1394">
            <v>10</v>
          </cell>
          <cell r="L1394">
            <v>0</v>
          </cell>
        </row>
        <row r="1395">
          <cell r="B1395">
            <v>2022</v>
          </cell>
          <cell r="C1395">
            <v>9</v>
          </cell>
          <cell r="E1395" t="str">
            <v>TEN</v>
          </cell>
          <cell r="I1395">
            <v>17</v>
          </cell>
          <cell r="J1395">
            <v>20</v>
          </cell>
          <cell r="L1395">
            <v>0</v>
          </cell>
        </row>
        <row r="1396">
          <cell r="B1396">
            <v>2022</v>
          </cell>
          <cell r="C1396">
            <v>10</v>
          </cell>
          <cell r="E1396" t="str">
            <v>TEN</v>
          </cell>
          <cell r="I1396">
            <v>17</v>
          </cell>
          <cell r="J1396">
            <v>10</v>
          </cell>
          <cell r="L1396">
            <v>0</v>
          </cell>
        </row>
        <row r="1397">
          <cell r="B1397">
            <v>2022</v>
          </cell>
          <cell r="C1397">
            <v>11</v>
          </cell>
          <cell r="E1397" t="str">
            <v>TEN</v>
          </cell>
          <cell r="I1397">
            <v>27</v>
          </cell>
          <cell r="J1397">
            <v>17</v>
          </cell>
          <cell r="L1397">
            <v>0</v>
          </cell>
        </row>
        <row r="1398">
          <cell r="B1398">
            <v>2022</v>
          </cell>
          <cell r="C1398">
            <v>12</v>
          </cell>
          <cell r="E1398" t="str">
            <v>TEN</v>
          </cell>
          <cell r="I1398">
            <v>16</v>
          </cell>
          <cell r="J1398">
            <v>20</v>
          </cell>
          <cell r="L1398">
            <v>0</v>
          </cell>
        </row>
        <row r="1399">
          <cell r="B1399">
            <v>2022</v>
          </cell>
          <cell r="C1399">
            <v>13</v>
          </cell>
          <cell r="E1399" t="str">
            <v>TEN</v>
          </cell>
          <cell r="I1399">
            <v>10</v>
          </cell>
          <cell r="J1399">
            <v>35</v>
          </cell>
          <cell r="L1399">
            <v>0</v>
          </cell>
        </row>
        <row r="1400">
          <cell r="B1400">
            <v>2022</v>
          </cell>
          <cell r="C1400">
            <v>14</v>
          </cell>
          <cell r="E1400" t="str">
            <v>TEN</v>
          </cell>
          <cell r="I1400">
            <v>22</v>
          </cell>
          <cell r="J1400">
            <v>36</v>
          </cell>
          <cell r="L1400">
            <v>0</v>
          </cell>
        </row>
        <row r="1401">
          <cell r="B1401">
            <v>2022</v>
          </cell>
          <cell r="C1401">
            <v>15</v>
          </cell>
          <cell r="E1401" t="str">
            <v>TEN</v>
          </cell>
          <cell r="I1401">
            <v>14</v>
          </cell>
          <cell r="J1401">
            <v>17</v>
          </cell>
          <cell r="L1401">
            <v>0</v>
          </cell>
        </row>
        <row r="1402">
          <cell r="B1402">
            <v>2022</v>
          </cell>
          <cell r="C1402">
            <v>16</v>
          </cell>
          <cell r="E1402" t="str">
            <v>TEN</v>
          </cell>
          <cell r="I1402">
            <v>14</v>
          </cell>
          <cell r="J1402">
            <v>19</v>
          </cell>
          <cell r="L1402">
            <v>0</v>
          </cell>
        </row>
        <row r="1403">
          <cell r="B1403">
            <v>2022</v>
          </cell>
          <cell r="C1403">
            <v>17</v>
          </cell>
          <cell r="E1403" t="str">
            <v>TEN</v>
          </cell>
          <cell r="I1403">
            <v>13</v>
          </cell>
          <cell r="J1403">
            <v>27</v>
          </cell>
          <cell r="L1403">
            <v>0</v>
          </cell>
        </row>
        <row r="1404">
          <cell r="B1404">
            <v>2022</v>
          </cell>
          <cell r="C1404">
            <v>18</v>
          </cell>
          <cell r="E1404" t="str">
            <v>TEN</v>
          </cell>
          <cell r="I1404">
            <v>16</v>
          </cell>
          <cell r="J1404">
            <v>20</v>
          </cell>
          <cell r="L1404">
            <v>0</v>
          </cell>
        </row>
        <row r="1405">
          <cell r="B1405">
            <v>2023</v>
          </cell>
          <cell r="C1405">
            <v>1</v>
          </cell>
          <cell r="E1405" t="str">
            <v>TEN</v>
          </cell>
          <cell r="I1405">
            <v>15</v>
          </cell>
          <cell r="J1405">
            <v>16</v>
          </cell>
          <cell r="L1405">
            <v>0</v>
          </cell>
        </row>
        <row r="1406">
          <cell r="B1406">
            <v>2023</v>
          </cell>
          <cell r="C1406">
            <v>2</v>
          </cell>
          <cell r="E1406" t="str">
            <v>TEN</v>
          </cell>
          <cell r="I1406">
            <v>27</v>
          </cell>
          <cell r="J1406">
            <v>24</v>
          </cell>
          <cell r="L1406">
            <v>0</v>
          </cell>
        </row>
        <row r="1407">
          <cell r="B1407">
            <v>2023</v>
          </cell>
          <cell r="C1407">
            <v>3</v>
          </cell>
          <cell r="E1407" t="str">
            <v>TEN</v>
          </cell>
          <cell r="I1407">
            <v>3</v>
          </cell>
          <cell r="J1407">
            <v>27</v>
          </cell>
          <cell r="L1407">
            <v>0</v>
          </cell>
        </row>
        <row r="1408">
          <cell r="B1408">
            <v>2023</v>
          </cell>
          <cell r="C1408">
            <v>4</v>
          </cell>
          <cell r="E1408" t="str">
            <v>TEN</v>
          </cell>
          <cell r="I1408">
            <v>27</v>
          </cell>
          <cell r="J1408">
            <v>3</v>
          </cell>
          <cell r="L1408">
            <v>0</v>
          </cell>
        </row>
        <row r="1409">
          <cell r="B1409">
            <v>2023</v>
          </cell>
          <cell r="C1409">
            <v>5</v>
          </cell>
          <cell r="E1409" t="str">
            <v>TEN</v>
          </cell>
          <cell r="I1409">
            <v>16</v>
          </cell>
          <cell r="J1409">
            <v>23</v>
          </cell>
          <cell r="L1409">
            <v>0</v>
          </cell>
        </row>
        <row r="1410">
          <cell r="B1410">
            <v>2023</v>
          </cell>
          <cell r="C1410">
            <v>6</v>
          </cell>
          <cell r="E1410" t="str">
            <v>TEN</v>
          </cell>
          <cell r="I1410">
            <v>16</v>
          </cell>
          <cell r="J1410">
            <v>24</v>
          </cell>
          <cell r="L1410">
            <v>0</v>
          </cell>
        </row>
        <row r="1411">
          <cell r="B1411">
            <v>2023</v>
          </cell>
          <cell r="C1411">
            <v>8</v>
          </cell>
          <cell r="E1411" t="str">
            <v>TEN</v>
          </cell>
          <cell r="I1411">
            <v>28</v>
          </cell>
          <cell r="J1411">
            <v>23</v>
          </cell>
          <cell r="L1411">
            <v>0</v>
          </cell>
        </row>
        <row r="1412">
          <cell r="B1412">
            <v>2023</v>
          </cell>
          <cell r="C1412">
            <v>9</v>
          </cell>
          <cell r="E1412" t="str">
            <v>TEN</v>
          </cell>
          <cell r="I1412">
            <v>16</v>
          </cell>
          <cell r="J1412">
            <v>20</v>
          </cell>
          <cell r="L1412">
            <v>0</v>
          </cell>
        </row>
        <row r="1413">
          <cell r="B1413">
            <v>2023</v>
          </cell>
          <cell r="C1413">
            <v>10</v>
          </cell>
          <cell r="E1413" t="str">
            <v>TEN</v>
          </cell>
          <cell r="I1413">
            <v>6</v>
          </cell>
          <cell r="J1413">
            <v>20</v>
          </cell>
          <cell r="L1413">
            <v>0</v>
          </cell>
        </row>
        <row r="1414">
          <cell r="B1414">
            <v>2023</v>
          </cell>
          <cell r="C1414">
            <v>11</v>
          </cell>
          <cell r="E1414" t="str">
            <v>TEN</v>
          </cell>
          <cell r="I1414">
            <v>14</v>
          </cell>
          <cell r="J1414">
            <v>34</v>
          </cell>
          <cell r="L1414">
            <v>0</v>
          </cell>
        </row>
        <row r="1415">
          <cell r="B1415">
            <v>2023</v>
          </cell>
          <cell r="C1415">
            <v>12</v>
          </cell>
          <cell r="E1415" t="str">
            <v>TEN</v>
          </cell>
          <cell r="I1415">
            <v>17</v>
          </cell>
          <cell r="J1415">
            <v>10</v>
          </cell>
          <cell r="L1415">
            <v>0</v>
          </cell>
        </row>
        <row r="1416">
          <cell r="B1416">
            <v>2023</v>
          </cell>
          <cell r="C1416">
            <v>13</v>
          </cell>
          <cell r="E1416" t="str">
            <v>TEN</v>
          </cell>
          <cell r="I1416">
            <v>28</v>
          </cell>
          <cell r="J1416">
            <v>31</v>
          </cell>
          <cell r="L1416">
            <v>0</v>
          </cell>
        </row>
        <row r="1417">
          <cell r="B1417">
            <v>2023</v>
          </cell>
          <cell r="C1417">
            <v>14</v>
          </cell>
          <cell r="E1417" t="str">
            <v>TEN</v>
          </cell>
          <cell r="I1417">
            <v>28</v>
          </cell>
          <cell r="J1417">
            <v>27</v>
          </cell>
          <cell r="L1417">
            <v>0</v>
          </cell>
        </row>
        <row r="1418">
          <cell r="B1418">
            <v>2023</v>
          </cell>
          <cell r="C1418">
            <v>15</v>
          </cell>
          <cell r="E1418" t="str">
            <v>TEN</v>
          </cell>
          <cell r="I1418">
            <v>16</v>
          </cell>
          <cell r="J1418">
            <v>19</v>
          </cell>
          <cell r="L1418">
            <v>0</v>
          </cell>
        </row>
        <row r="1419">
          <cell r="B1419">
            <v>2023</v>
          </cell>
          <cell r="C1419">
            <v>16</v>
          </cell>
          <cell r="E1419" t="str">
            <v>TEN</v>
          </cell>
          <cell r="I1419">
            <v>17</v>
          </cell>
          <cell r="J1419">
            <v>20</v>
          </cell>
          <cell r="L1419">
            <v>0</v>
          </cell>
        </row>
        <row r="1420">
          <cell r="B1420">
            <v>2023</v>
          </cell>
          <cell r="C1420">
            <v>17</v>
          </cell>
          <cell r="E1420" t="str">
            <v>TEN</v>
          </cell>
          <cell r="I1420">
            <v>3</v>
          </cell>
          <cell r="J1420">
            <v>26</v>
          </cell>
          <cell r="L1420">
            <v>0</v>
          </cell>
        </row>
        <row r="1421">
          <cell r="B1421">
            <v>2023</v>
          </cell>
          <cell r="C1421">
            <v>18</v>
          </cell>
          <cell r="E1421" t="str">
            <v>TEN</v>
          </cell>
          <cell r="I1421">
            <v>28</v>
          </cell>
          <cell r="J1421">
            <v>20</v>
          </cell>
          <cell r="L1421">
            <v>0</v>
          </cell>
        </row>
        <row r="1422">
          <cell r="B1422">
            <v>2024</v>
          </cell>
          <cell r="C1422">
            <v>1</v>
          </cell>
          <cell r="E1422" t="str">
            <v>TEN</v>
          </cell>
          <cell r="I1422">
            <v>17</v>
          </cell>
          <cell r="J1422">
            <v>24</v>
          </cell>
          <cell r="L1422">
            <v>0</v>
          </cell>
        </row>
        <row r="1423">
          <cell r="B1423">
            <v>2024</v>
          </cell>
          <cell r="C1423">
            <v>2</v>
          </cell>
          <cell r="E1423" t="str">
            <v>TEN</v>
          </cell>
          <cell r="I1423">
            <v>17</v>
          </cell>
          <cell r="J1423">
            <v>24</v>
          </cell>
          <cell r="L1423">
            <v>0</v>
          </cell>
        </row>
        <row r="1424">
          <cell r="B1424">
            <v>2024</v>
          </cell>
          <cell r="C1424">
            <v>3</v>
          </cell>
          <cell r="E1424" t="str">
            <v>TEN</v>
          </cell>
          <cell r="I1424">
            <v>14</v>
          </cell>
          <cell r="J1424">
            <v>30</v>
          </cell>
          <cell r="L1424">
            <v>0</v>
          </cell>
        </row>
        <row r="1425">
          <cell r="B1425">
            <v>2024</v>
          </cell>
          <cell r="C1425">
            <v>4</v>
          </cell>
          <cell r="E1425" t="str">
            <v>TEN</v>
          </cell>
          <cell r="I1425">
            <v>31</v>
          </cell>
          <cell r="J1425">
            <v>12</v>
          </cell>
          <cell r="L1425">
            <v>0</v>
          </cell>
        </row>
        <row r="1426">
          <cell r="B1426">
            <v>2024</v>
          </cell>
          <cell r="C1426">
            <v>6</v>
          </cell>
          <cell r="E1426" t="str">
            <v>TEN</v>
          </cell>
          <cell r="I1426">
            <v>17</v>
          </cell>
          <cell r="J1426">
            <v>20</v>
          </cell>
          <cell r="L1426">
            <v>0</v>
          </cell>
        </row>
        <row r="1427">
          <cell r="B1427">
            <v>2024</v>
          </cell>
          <cell r="C1427">
            <v>7</v>
          </cell>
          <cell r="E1427" t="str">
            <v>TEN</v>
          </cell>
          <cell r="I1427">
            <v>10</v>
          </cell>
          <cell r="J1427">
            <v>34</v>
          </cell>
          <cell r="L1427">
            <v>0</v>
          </cell>
        </row>
        <row r="1428">
          <cell r="B1428">
            <v>2024</v>
          </cell>
          <cell r="C1428">
            <v>8</v>
          </cell>
          <cell r="E1428" t="str">
            <v>TEN</v>
          </cell>
          <cell r="I1428">
            <v>14</v>
          </cell>
          <cell r="J1428">
            <v>52</v>
          </cell>
          <cell r="L1428">
            <v>0</v>
          </cell>
        </row>
        <row r="1429">
          <cell r="B1429">
            <v>2024</v>
          </cell>
          <cell r="C1429">
            <v>9</v>
          </cell>
          <cell r="E1429" t="str">
            <v>TEN</v>
          </cell>
          <cell r="I1429">
            <v>20</v>
          </cell>
          <cell r="J1429">
            <v>17</v>
          </cell>
          <cell r="L1429">
            <v>0</v>
          </cell>
        </row>
        <row r="1430">
          <cell r="B1430">
            <v>2024</v>
          </cell>
          <cell r="C1430">
            <v>10</v>
          </cell>
          <cell r="E1430" t="str">
            <v>TEN</v>
          </cell>
          <cell r="I1430">
            <v>17</v>
          </cell>
          <cell r="J1430">
            <v>27</v>
          </cell>
          <cell r="L1430">
            <v>0</v>
          </cell>
        </row>
        <row r="1431">
          <cell r="B1431">
            <v>2024</v>
          </cell>
          <cell r="C1431">
            <v>11</v>
          </cell>
          <cell r="E1431" t="str">
            <v>TEN</v>
          </cell>
          <cell r="I1431">
            <v>13</v>
          </cell>
          <cell r="J1431">
            <v>23</v>
          </cell>
          <cell r="L1431">
            <v>0</v>
          </cell>
        </row>
        <row r="1432">
          <cell r="B1432">
            <v>2024</v>
          </cell>
          <cell r="C1432">
            <v>12</v>
          </cell>
          <cell r="E1432" t="str">
            <v>TEN</v>
          </cell>
          <cell r="I1432">
            <v>32</v>
          </cell>
          <cell r="J1432">
            <v>27</v>
          </cell>
          <cell r="L1432">
            <v>0</v>
          </cell>
        </row>
        <row r="1433">
          <cell r="B1433">
            <v>2024</v>
          </cell>
          <cell r="C1433">
            <v>13</v>
          </cell>
          <cell r="E1433" t="str">
            <v>TEN</v>
          </cell>
          <cell r="I1433">
            <v>19</v>
          </cell>
          <cell r="J1433">
            <v>42</v>
          </cell>
          <cell r="L1433">
            <v>0</v>
          </cell>
        </row>
        <row r="1434">
          <cell r="B1434">
            <v>2024</v>
          </cell>
          <cell r="C1434">
            <v>14</v>
          </cell>
          <cell r="E1434" t="str">
            <v>TEN</v>
          </cell>
          <cell r="I1434">
            <v>6</v>
          </cell>
          <cell r="J1434">
            <v>10</v>
          </cell>
          <cell r="L1434">
            <v>0</v>
          </cell>
        </row>
        <row r="1435">
          <cell r="B1435">
            <v>2024</v>
          </cell>
          <cell r="C1435">
            <v>15</v>
          </cell>
          <cell r="E1435" t="str">
            <v>TEN</v>
          </cell>
          <cell r="I1435">
            <v>27</v>
          </cell>
          <cell r="J1435">
            <v>37</v>
          </cell>
          <cell r="L1435">
            <v>0</v>
          </cell>
        </row>
        <row r="1436">
          <cell r="B1436">
            <v>2024</v>
          </cell>
          <cell r="C1436">
            <v>16</v>
          </cell>
          <cell r="E1436" t="str">
            <v>TEN</v>
          </cell>
          <cell r="I1436">
            <v>30</v>
          </cell>
          <cell r="J1436">
            <v>38</v>
          </cell>
          <cell r="L1436">
            <v>0</v>
          </cell>
        </row>
        <row r="1437">
          <cell r="B1437">
            <v>2024</v>
          </cell>
          <cell r="C1437">
            <v>17</v>
          </cell>
          <cell r="E1437" t="str">
            <v>TEN</v>
          </cell>
          <cell r="I1437">
            <v>13</v>
          </cell>
          <cell r="J1437">
            <v>20</v>
          </cell>
          <cell r="L1437">
            <v>0</v>
          </cell>
        </row>
        <row r="1438">
          <cell r="B1438">
            <v>2024</v>
          </cell>
          <cell r="C1438">
            <v>18</v>
          </cell>
          <cell r="E1438" t="str">
            <v>TEN</v>
          </cell>
          <cell r="I1438">
            <v>14</v>
          </cell>
          <cell r="J1438">
            <v>23</v>
          </cell>
          <cell r="L1438">
            <v>0</v>
          </cell>
        </row>
        <row r="1439">
          <cell r="B1439">
            <v>2025</v>
          </cell>
          <cell r="C1439">
            <v>1</v>
          </cell>
          <cell r="E1439" t="str">
            <v>TEN</v>
          </cell>
          <cell r="I1439">
            <v>12</v>
          </cell>
          <cell r="J1439">
            <v>20</v>
          </cell>
          <cell r="L1439">
            <v>0</v>
          </cell>
        </row>
        <row r="1440">
          <cell r="B1440">
            <v>2025</v>
          </cell>
          <cell r="C1440">
            <v>2</v>
          </cell>
          <cell r="E1440" t="str">
            <v>TEN</v>
          </cell>
          <cell r="I1440">
            <v>19</v>
          </cell>
          <cell r="J1440">
            <v>33</v>
          </cell>
          <cell r="L1440">
            <v>0</v>
          </cell>
        </row>
        <row r="1441">
          <cell r="B1441">
            <v>2025</v>
          </cell>
          <cell r="C1441">
            <v>3</v>
          </cell>
          <cell r="E1441" t="str">
            <v>TEN</v>
          </cell>
          <cell r="I1441">
            <v>20</v>
          </cell>
          <cell r="J1441">
            <v>41</v>
          </cell>
          <cell r="L1441">
            <v>0</v>
          </cell>
        </row>
        <row r="1442">
          <cell r="B1442">
            <v>2025</v>
          </cell>
          <cell r="C1442">
            <v>4</v>
          </cell>
          <cell r="E1442" t="str">
            <v>TEN</v>
          </cell>
          <cell r="I1442">
            <v>0</v>
          </cell>
          <cell r="J1442">
            <v>26</v>
          </cell>
          <cell r="L1442">
            <v>0</v>
          </cell>
        </row>
        <row r="1443">
          <cell r="B1443">
            <v>2025</v>
          </cell>
          <cell r="C1443">
            <v>5</v>
          </cell>
          <cell r="E1443" t="str">
            <v>TEN</v>
          </cell>
          <cell r="I1443">
            <v>22</v>
          </cell>
          <cell r="J1443">
            <v>21</v>
          </cell>
          <cell r="L1443">
            <v>0</v>
          </cell>
        </row>
        <row r="1444">
          <cell r="B1444">
            <v>2025</v>
          </cell>
          <cell r="C1444">
            <v>6</v>
          </cell>
          <cell r="E1444" t="str">
            <v>TEN</v>
          </cell>
          <cell r="I1444">
            <v>10</v>
          </cell>
          <cell r="J1444">
            <v>20</v>
          </cell>
          <cell r="L1444">
            <v>0</v>
          </cell>
        </row>
        <row r="1445">
          <cell r="B1445">
            <v>2025</v>
          </cell>
          <cell r="C1445">
            <v>7</v>
          </cell>
          <cell r="E1445" t="str">
            <v>TEN</v>
          </cell>
          <cell r="I1445">
            <v>13</v>
          </cell>
          <cell r="J1445">
            <v>31</v>
          </cell>
          <cell r="L1445">
            <v>0</v>
          </cell>
        </row>
        <row r="1446">
          <cell r="B1446">
            <v>2025</v>
          </cell>
          <cell r="C1446">
            <v>8</v>
          </cell>
          <cell r="E1446" t="str">
            <v>TEN</v>
          </cell>
          <cell r="I1446">
            <v>14</v>
          </cell>
          <cell r="J1446">
            <v>38</v>
          </cell>
          <cell r="L1446">
            <v>0</v>
          </cell>
        </row>
        <row r="1447">
          <cell r="B1447">
            <v>2025</v>
          </cell>
          <cell r="C1447">
            <v>9</v>
          </cell>
          <cell r="E1447" t="str">
            <v>TEN</v>
          </cell>
          <cell r="I1447">
            <v>20</v>
          </cell>
          <cell r="J1447">
            <v>27</v>
          </cell>
          <cell r="L1447">
            <v>0</v>
          </cell>
        </row>
        <row r="1448">
          <cell r="B1448">
            <v>2025</v>
          </cell>
          <cell r="C1448">
            <v>11</v>
          </cell>
          <cell r="E1448" t="str">
            <v>TEN</v>
          </cell>
          <cell r="I1448">
            <v>13</v>
          </cell>
          <cell r="J1448">
            <v>16</v>
          </cell>
          <cell r="L1448">
            <v>0</v>
          </cell>
        </row>
        <row r="1449">
          <cell r="B1449">
            <v>2025</v>
          </cell>
          <cell r="C1449">
            <v>12</v>
          </cell>
          <cell r="E1449" t="str">
            <v>TEN</v>
          </cell>
          <cell r="I1449">
            <v>24</v>
          </cell>
          <cell r="J1449">
            <v>30</v>
          </cell>
          <cell r="L1449">
            <v>0</v>
          </cell>
        </row>
        <row r="1450">
          <cell r="B1450">
            <v>2025</v>
          </cell>
          <cell r="C1450">
            <v>13</v>
          </cell>
          <cell r="E1450" t="str">
            <v>TEN</v>
          </cell>
          <cell r="I1450">
            <v>3</v>
          </cell>
          <cell r="J1450">
            <v>25</v>
          </cell>
          <cell r="L1450">
            <v>0</v>
          </cell>
        </row>
        <row r="1451">
          <cell r="B1451">
            <v>2025</v>
          </cell>
          <cell r="C1451">
            <v>14</v>
          </cell>
          <cell r="E1451" t="str">
            <v>TEN</v>
          </cell>
          <cell r="I1451">
            <v>31</v>
          </cell>
          <cell r="J1451">
            <v>29</v>
          </cell>
          <cell r="L1451">
            <v>0</v>
          </cell>
        </row>
        <row r="1452">
          <cell r="B1452">
            <v>2025</v>
          </cell>
          <cell r="C1452">
            <v>15</v>
          </cell>
          <cell r="E1452" t="str">
            <v>TEN</v>
          </cell>
          <cell r="I1452">
            <v>24</v>
          </cell>
          <cell r="J1452">
            <v>37</v>
          </cell>
          <cell r="L1452">
            <v>0</v>
          </cell>
        </row>
        <row r="1453">
          <cell r="B1453">
            <v>2025</v>
          </cell>
          <cell r="C1453">
            <v>16</v>
          </cell>
          <cell r="E1453" t="str">
            <v>TEN</v>
          </cell>
          <cell r="I1453">
            <v>26</v>
          </cell>
          <cell r="J1453">
            <v>9</v>
          </cell>
          <cell r="L1453">
            <v>0</v>
          </cell>
        </row>
        <row r="1454">
          <cell r="B1454">
            <v>2025</v>
          </cell>
          <cell r="C1454">
            <v>17</v>
          </cell>
          <cell r="E1454" t="str">
            <v>TEN</v>
          </cell>
          <cell r="I1454">
            <v>26</v>
          </cell>
          <cell r="J1454">
            <v>34</v>
          </cell>
          <cell r="L1454">
            <v>0</v>
          </cell>
        </row>
        <row r="1455">
          <cell r="B1455">
            <v>2025</v>
          </cell>
          <cell r="C1455">
            <v>18</v>
          </cell>
          <cell r="E1455" t="str">
            <v>TEN</v>
          </cell>
          <cell r="I1455">
            <v>7</v>
          </cell>
          <cell r="J1455">
            <v>41</v>
          </cell>
          <cell r="L1455">
            <v>0</v>
          </cell>
        </row>
        <row r="1456">
          <cell r="B1456">
            <v>2026</v>
          </cell>
          <cell r="C1456">
            <v>1</v>
          </cell>
          <cell r="E1456" t="str">
            <v>TEN</v>
          </cell>
          <cell r="I1456">
            <v>10</v>
          </cell>
          <cell r="J1456">
            <v>23</v>
          </cell>
          <cell r="L1456">
            <v>0</v>
          </cell>
        </row>
        <row r="1457">
          <cell r="B1457">
            <v>2026</v>
          </cell>
          <cell r="C1457">
            <v>2</v>
          </cell>
          <cell r="E1457" t="str">
            <v>TEN</v>
          </cell>
          <cell r="I1457">
            <v>20</v>
          </cell>
          <cell r="J1457">
            <v>24</v>
          </cell>
          <cell r="L1457">
            <v>0</v>
          </cell>
        </row>
        <row r="1458">
          <cell r="B1458">
            <v>2026</v>
          </cell>
          <cell r="C1458">
            <v>3</v>
          </cell>
          <cell r="E1458" t="str">
            <v>TEN</v>
          </cell>
          <cell r="I1458">
            <v>7</v>
          </cell>
          <cell r="J1458">
            <v>12</v>
          </cell>
          <cell r="L1458">
            <v>0</v>
          </cell>
        </row>
        <row r="1459">
          <cell r="B1459">
            <v>2026</v>
          </cell>
          <cell r="C1459">
            <v>4</v>
          </cell>
          <cell r="E1459" t="str">
            <v>TEN</v>
          </cell>
          <cell r="I1459">
            <v>18</v>
          </cell>
          <cell r="J1459">
            <v>24</v>
          </cell>
          <cell r="L1459">
            <v>0</v>
          </cell>
        </row>
        <row r="1460">
          <cell r="B1460">
            <v>2026</v>
          </cell>
          <cell r="C1460">
            <v>5</v>
          </cell>
          <cell r="E1460" t="str">
            <v>TEN</v>
          </cell>
          <cell r="I1460">
            <v>3</v>
          </cell>
          <cell r="J1460">
            <v>26</v>
          </cell>
          <cell r="L1460">
            <v>0</v>
          </cell>
        </row>
        <row r="1461">
          <cell r="B1461">
            <v>2026</v>
          </cell>
          <cell r="C1461">
            <v>6</v>
          </cell>
          <cell r="E1461" t="str">
            <v>TEN</v>
          </cell>
          <cell r="I1461">
            <v>26</v>
          </cell>
          <cell r="J1461">
            <v>20</v>
          </cell>
          <cell r="L1461">
            <v>0</v>
          </cell>
        </row>
        <row r="1462">
          <cell r="B1462">
            <v>2026</v>
          </cell>
          <cell r="C1462">
            <v>7</v>
          </cell>
          <cell r="E1462" t="str">
            <v>TEN</v>
          </cell>
          <cell r="L1462">
            <v>0</v>
          </cell>
        </row>
        <row r="1463">
          <cell r="B1463">
            <v>2018</v>
          </cell>
          <cell r="C1463">
            <v>1</v>
          </cell>
          <cell r="E1463" t="str">
            <v>IND</v>
          </cell>
          <cell r="I1463">
            <v>23</v>
          </cell>
          <cell r="J1463">
            <v>34</v>
          </cell>
          <cell r="L1463">
            <v>0</v>
          </cell>
        </row>
        <row r="1464">
          <cell r="B1464">
            <v>2018</v>
          </cell>
          <cell r="C1464">
            <v>2</v>
          </cell>
          <cell r="E1464" t="str">
            <v>IND</v>
          </cell>
          <cell r="I1464">
            <v>21</v>
          </cell>
          <cell r="J1464">
            <v>9</v>
          </cell>
          <cell r="L1464">
            <v>0</v>
          </cell>
        </row>
        <row r="1465">
          <cell r="B1465">
            <v>2018</v>
          </cell>
          <cell r="C1465">
            <v>3</v>
          </cell>
          <cell r="E1465" t="str">
            <v>IND</v>
          </cell>
          <cell r="I1465">
            <v>16</v>
          </cell>
          <cell r="J1465">
            <v>20</v>
          </cell>
          <cell r="L1465">
            <v>0</v>
          </cell>
        </row>
        <row r="1466">
          <cell r="B1466">
            <v>2018</v>
          </cell>
          <cell r="C1466">
            <v>4</v>
          </cell>
          <cell r="E1466" t="str">
            <v>IND</v>
          </cell>
          <cell r="I1466">
            <v>34</v>
          </cell>
          <cell r="J1466">
            <v>37</v>
          </cell>
          <cell r="L1466">
            <v>0</v>
          </cell>
        </row>
        <row r="1467">
          <cell r="B1467">
            <v>2018</v>
          </cell>
          <cell r="C1467">
            <v>5</v>
          </cell>
          <cell r="E1467" t="str">
            <v>IND</v>
          </cell>
          <cell r="I1467">
            <v>24</v>
          </cell>
          <cell r="J1467">
            <v>38</v>
          </cell>
          <cell r="L1467">
            <v>0</v>
          </cell>
        </row>
        <row r="1468">
          <cell r="B1468">
            <v>2018</v>
          </cell>
          <cell r="C1468">
            <v>6</v>
          </cell>
          <cell r="E1468" t="str">
            <v>IND</v>
          </cell>
          <cell r="I1468">
            <v>34</v>
          </cell>
          <cell r="J1468">
            <v>42</v>
          </cell>
          <cell r="L1468">
            <v>0</v>
          </cell>
        </row>
        <row r="1469">
          <cell r="B1469">
            <v>2018</v>
          </cell>
          <cell r="C1469">
            <v>7</v>
          </cell>
          <cell r="E1469" t="str">
            <v>IND</v>
          </cell>
          <cell r="I1469">
            <v>37</v>
          </cell>
          <cell r="J1469">
            <v>5</v>
          </cell>
          <cell r="L1469">
            <v>0</v>
          </cell>
        </row>
        <row r="1470">
          <cell r="B1470">
            <v>2018</v>
          </cell>
          <cell r="C1470">
            <v>8</v>
          </cell>
          <cell r="E1470" t="str">
            <v>IND</v>
          </cell>
          <cell r="I1470">
            <v>42</v>
          </cell>
          <cell r="J1470">
            <v>28</v>
          </cell>
          <cell r="L1470">
            <v>0</v>
          </cell>
        </row>
        <row r="1471">
          <cell r="B1471">
            <v>2018</v>
          </cell>
          <cell r="C1471">
            <v>10</v>
          </cell>
          <cell r="E1471" t="str">
            <v>IND</v>
          </cell>
          <cell r="I1471">
            <v>29</v>
          </cell>
          <cell r="J1471">
            <v>26</v>
          </cell>
          <cell r="L1471">
            <v>0</v>
          </cell>
        </row>
        <row r="1472">
          <cell r="B1472">
            <v>2018</v>
          </cell>
          <cell r="C1472">
            <v>11</v>
          </cell>
          <cell r="E1472" t="str">
            <v>IND</v>
          </cell>
          <cell r="I1472">
            <v>38</v>
          </cell>
          <cell r="J1472">
            <v>10</v>
          </cell>
          <cell r="L1472">
            <v>0</v>
          </cell>
        </row>
        <row r="1473">
          <cell r="B1473">
            <v>2018</v>
          </cell>
          <cell r="C1473">
            <v>12</v>
          </cell>
          <cell r="E1473" t="str">
            <v>IND</v>
          </cell>
          <cell r="I1473">
            <v>27</v>
          </cell>
          <cell r="J1473">
            <v>24</v>
          </cell>
          <cell r="L1473">
            <v>0</v>
          </cell>
        </row>
        <row r="1474">
          <cell r="B1474">
            <v>2018</v>
          </cell>
          <cell r="C1474">
            <v>13</v>
          </cell>
          <cell r="E1474" t="str">
            <v>IND</v>
          </cell>
          <cell r="I1474">
            <v>0</v>
          </cell>
          <cell r="J1474">
            <v>6</v>
          </cell>
          <cell r="L1474">
            <v>0</v>
          </cell>
        </row>
        <row r="1475">
          <cell r="B1475">
            <v>2018</v>
          </cell>
          <cell r="C1475">
            <v>14</v>
          </cell>
          <cell r="E1475" t="str">
            <v>IND</v>
          </cell>
          <cell r="I1475">
            <v>24</v>
          </cell>
          <cell r="J1475">
            <v>21</v>
          </cell>
          <cell r="L1475">
            <v>0</v>
          </cell>
        </row>
        <row r="1476">
          <cell r="B1476">
            <v>2018</v>
          </cell>
          <cell r="C1476">
            <v>15</v>
          </cell>
          <cell r="E1476" t="str">
            <v>IND</v>
          </cell>
          <cell r="I1476">
            <v>23</v>
          </cell>
          <cell r="J1476">
            <v>0</v>
          </cell>
          <cell r="L1476">
            <v>0</v>
          </cell>
        </row>
        <row r="1477">
          <cell r="B1477">
            <v>2018</v>
          </cell>
          <cell r="C1477">
            <v>16</v>
          </cell>
          <cell r="E1477" t="str">
            <v>IND</v>
          </cell>
          <cell r="I1477">
            <v>28</v>
          </cell>
          <cell r="J1477">
            <v>27</v>
          </cell>
          <cell r="L1477">
            <v>0</v>
          </cell>
        </row>
        <row r="1478">
          <cell r="B1478">
            <v>2018</v>
          </cell>
          <cell r="C1478">
            <v>17</v>
          </cell>
          <cell r="E1478" t="str">
            <v>IND</v>
          </cell>
          <cell r="I1478">
            <v>33</v>
          </cell>
          <cell r="J1478">
            <v>17</v>
          </cell>
          <cell r="L1478">
            <v>0</v>
          </cell>
        </row>
        <row r="1479">
          <cell r="B1479">
            <v>2018</v>
          </cell>
          <cell r="C1479">
            <v>1</v>
          </cell>
          <cell r="E1479" t="str">
            <v>IND</v>
          </cell>
          <cell r="I1479">
            <v>21</v>
          </cell>
          <cell r="J1479">
            <v>7</v>
          </cell>
          <cell r="L1479">
            <v>1</v>
          </cell>
        </row>
        <row r="1480">
          <cell r="B1480">
            <v>2018</v>
          </cell>
          <cell r="C1480">
            <v>2</v>
          </cell>
          <cell r="E1480" t="str">
            <v>IND</v>
          </cell>
          <cell r="I1480">
            <v>13</v>
          </cell>
          <cell r="J1480">
            <v>31</v>
          </cell>
          <cell r="L1480">
            <v>1</v>
          </cell>
        </row>
        <row r="1481">
          <cell r="B1481">
            <v>2019</v>
          </cell>
          <cell r="C1481">
            <v>1</v>
          </cell>
          <cell r="E1481" t="str">
            <v>IND</v>
          </cell>
          <cell r="I1481">
            <v>24</v>
          </cell>
          <cell r="J1481">
            <v>30</v>
          </cell>
          <cell r="L1481">
            <v>0</v>
          </cell>
        </row>
        <row r="1482">
          <cell r="B1482">
            <v>2019</v>
          </cell>
          <cell r="C1482">
            <v>2</v>
          </cell>
          <cell r="E1482" t="str">
            <v>IND</v>
          </cell>
          <cell r="I1482">
            <v>19</v>
          </cell>
          <cell r="J1482">
            <v>17</v>
          </cell>
          <cell r="L1482">
            <v>0</v>
          </cell>
        </row>
        <row r="1483">
          <cell r="B1483">
            <v>2019</v>
          </cell>
          <cell r="C1483">
            <v>3</v>
          </cell>
          <cell r="E1483" t="str">
            <v>IND</v>
          </cell>
          <cell r="I1483">
            <v>27</v>
          </cell>
          <cell r="J1483">
            <v>24</v>
          </cell>
          <cell r="L1483">
            <v>0</v>
          </cell>
        </row>
        <row r="1484">
          <cell r="B1484">
            <v>2019</v>
          </cell>
          <cell r="C1484">
            <v>4</v>
          </cell>
          <cell r="E1484" t="str">
            <v>IND</v>
          </cell>
          <cell r="I1484">
            <v>24</v>
          </cell>
          <cell r="J1484">
            <v>31</v>
          </cell>
          <cell r="L1484">
            <v>0</v>
          </cell>
        </row>
        <row r="1485">
          <cell r="B1485">
            <v>2019</v>
          </cell>
          <cell r="C1485">
            <v>5</v>
          </cell>
          <cell r="E1485" t="str">
            <v>IND</v>
          </cell>
          <cell r="I1485">
            <v>19</v>
          </cell>
          <cell r="J1485">
            <v>13</v>
          </cell>
          <cell r="L1485">
            <v>0</v>
          </cell>
        </row>
        <row r="1486">
          <cell r="B1486">
            <v>2019</v>
          </cell>
          <cell r="C1486">
            <v>7</v>
          </cell>
          <cell r="E1486" t="str">
            <v>IND</v>
          </cell>
          <cell r="I1486">
            <v>30</v>
          </cell>
          <cell r="J1486">
            <v>23</v>
          </cell>
          <cell r="L1486">
            <v>0</v>
          </cell>
        </row>
        <row r="1487">
          <cell r="B1487">
            <v>2019</v>
          </cell>
          <cell r="C1487">
            <v>8</v>
          </cell>
          <cell r="E1487" t="str">
            <v>IND</v>
          </cell>
          <cell r="I1487">
            <v>15</v>
          </cell>
          <cell r="J1487">
            <v>13</v>
          </cell>
          <cell r="L1487">
            <v>0</v>
          </cell>
        </row>
        <row r="1488">
          <cell r="B1488">
            <v>2019</v>
          </cell>
          <cell r="C1488">
            <v>9</v>
          </cell>
          <cell r="E1488" t="str">
            <v>IND</v>
          </cell>
          <cell r="I1488">
            <v>24</v>
          </cell>
          <cell r="J1488">
            <v>26</v>
          </cell>
          <cell r="L1488">
            <v>0</v>
          </cell>
        </row>
        <row r="1489">
          <cell r="B1489">
            <v>2019</v>
          </cell>
          <cell r="C1489">
            <v>10</v>
          </cell>
          <cell r="E1489" t="str">
            <v>IND</v>
          </cell>
          <cell r="I1489">
            <v>12</v>
          </cell>
          <cell r="J1489">
            <v>16</v>
          </cell>
          <cell r="L1489">
            <v>0</v>
          </cell>
        </row>
        <row r="1490">
          <cell r="B1490">
            <v>2019</v>
          </cell>
          <cell r="C1490">
            <v>11</v>
          </cell>
          <cell r="E1490" t="str">
            <v>IND</v>
          </cell>
          <cell r="I1490">
            <v>33</v>
          </cell>
          <cell r="J1490">
            <v>13</v>
          </cell>
          <cell r="L1490">
            <v>0</v>
          </cell>
        </row>
        <row r="1491">
          <cell r="B1491">
            <v>2019</v>
          </cell>
          <cell r="C1491">
            <v>12</v>
          </cell>
          <cell r="E1491" t="str">
            <v>IND</v>
          </cell>
          <cell r="I1491">
            <v>17</v>
          </cell>
          <cell r="J1491">
            <v>20</v>
          </cell>
          <cell r="L1491">
            <v>0</v>
          </cell>
        </row>
        <row r="1492">
          <cell r="B1492">
            <v>2019</v>
          </cell>
          <cell r="C1492">
            <v>13</v>
          </cell>
          <cell r="E1492" t="str">
            <v>IND</v>
          </cell>
          <cell r="I1492">
            <v>17</v>
          </cell>
          <cell r="J1492">
            <v>31</v>
          </cell>
          <cell r="L1492">
            <v>0</v>
          </cell>
        </row>
        <row r="1493">
          <cell r="B1493">
            <v>2019</v>
          </cell>
          <cell r="C1493">
            <v>14</v>
          </cell>
          <cell r="E1493" t="str">
            <v>IND</v>
          </cell>
          <cell r="I1493">
            <v>35</v>
          </cell>
          <cell r="J1493">
            <v>38</v>
          </cell>
          <cell r="L1493">
            <v>0</v>
          </cell>
        </row>
        <row r="1494">
          <cell r="B1494">
            <v>2019</v>
          </cell>
          <cell r="C1494">
            <v>15</v>
          </cell>
          <cell r="E1494" t="str">
            <v>IND</v>
          </cell>
          <cell r="I1494">
            <v>7</v>
          </cell>
          <cell r="J1494">
            <v>34</v>
          </cell>
          <cell r="L1494">
            <v>0</v>
          </cell>
        </row>
        <row r="1495">
          <cell r="B1495">
            <v>2019</v>
          </cell>
          <cell r="C1495">
            <v>16</v>
          </cell>
          <cell r="E1495" t="str">
            <v>IND</v>
          </cell>
          <cell r="I1495">
            <v>38</v>
          </cell>
          <cell r="J1495">
            <v>6</v>
          </cell>
          <cell r="L1495">
            <v>0</v>
          </cell>
        </row>
        <row r="1496">
          <cell r="B1496">
            <v>2019</v>
          </cell>
          <cell r="C1496">
            <v>17</v>
          </cell>
          <cell r="E1496" t="str">
            <v>IND</v>
          </cell>
          <cell r="I1496">
            <v>20</v>
          </cell>
          <cell r="J1496">
            <v>38</v>
          </cell>
          <cell r="L1496">
            <v>0</v>
          </cell>
        </row>
        <row r="1497">
          <cell r="B1497">
            <v>2020</v>
          </cell>
          <cell r="C1497">
            <v>1</v>
          </cell>
          <cell r="E1497" t="str">
            <v>IND</v>
          </cell>
          <cell r="I1497">
            <v>20</v>
          </cell>
          <cell r="J1497">
            <v>27</v>
          </cell>
          <cell r="L1497">
            <v>0</v>
          </cell>
        </row>
        <row r="1498">
          <cell r="B1498">
            <v>2020</v>
          </cell>
          <cell r="C1498">
            <v>2</v>
          </cell>
          <cell r="E1498" t="str">
            <v>IND</v>
          </cell>
          <cell r="I1498">
            <v>28</v>
          </cell>
          <cell r="J1498">
            <v>11</v>
          </cell>
          <cell r="L1498">
            <v>0</v>
          </cell>
        </row>
        <row r="1499">
          <cell r="B1499">
            <v>2020</v>
          </cell>
          <cell r="C1499">
            <v>3</v>
          </cell>
          <cell r="E1499" t="str">
            <v>IND</v>
          </cell>
          <cell r="I1499">
            <v>36</v>
          </cell>
          <cell r="J1499">
            <v>7</v>
          </cell>
          <cell r="L1499">
            <v>0</v>
          </cell>
        </row>
        <row r="1500">
          <cell r="B1500">
            <v>2020</v>
          </cell>
          <cell r="C1500">
            <v>4</v>
          </cell>
          <cell r="E1500" t="str">
            <v>IND</v>
          </cell>
          <cell r="I1500">
            <v>19</v>
          </cell>
          <cell r="J1500">
            <v>11</v>
          </cell>
          <cell r="L1500">
            <v>0</v>
          </cell>
        </row>
        <row r="1501">
          <cell r="B1501">
            <v>2020</v>
          </cell>
          <cell r="C1501">
            <v>5</v>
          </cell>
          <cell r="E1501" t="str">
            <v>IND</v>
          </cell>
          <cell r="I1501">
            <v>23</v>
          </cell>
          <cell r="J1501">
            <v>32</v>
          </cell>
          <cell r="L1501">
            <v>0</v>
          </cell>
        </row>
        <row r="1502">
          <cell r="B1502">
            <v>2020</v>
          </cell>
          <cell r="C1502">
            <v>6</v>
          </cell>
          <cell r="E1502" t="str">
            <v>IND</v>
          </cell>
          <cell r="I1502">
            <v>31</v>
          </cell>
          <cell r="J1502">
            <v>27</v>
          </cell>
          <cell r="L1502">
            <v>0</v>
          </cell>
        </row>
        <row r="1503">
          <cell r="B1503">
            <v>2020</v>
          </cell>
          <cell r="C1503">
            <v>8</v>
          </cell>
          <cell r="E1503" t="str">
            <v>IND</v>
          </cell>
          <cell r="I1503">
            <v>41</v>
          </cell>
          <cell r="J1503">
            <v>21</v>
          </cell>
          <cell r="L1503">
            <v>0</v>
          </cell>
        </row>
        <row r="1504">
          <cell r="B1504">
            <v>2020</v>
          </cell>
          <cell r="C1504">
            <v>9</v>
          </cell>
          <cell r="E1504" t="str">
            <v>IND</v>
          </cell>
          <cell r="I1504">
            <v>10</v>
          </cell>
          <cell r="J1504">
            <v>24</v>
          </cell>
          <cell r="L1504">
            <v>0</v>
          </cell>
        </row>
        <row r="1505">
          <cell r="B1505">
            <v>2020</v>
          </cell>
          <cell r="C1505">
            <v>10</v>
          </cell>
          <cell r="E1505" t="str">
            <v>IND</v>
          </cell>
          <cell r="I1505">
            <v>34</v>
          </cell>
          <cell r="J1505">
            <v>17</v>
          </cell>
          <cell r="L1505">
            <v>0</v>
          </cell>
        </row>
        <row r="1506">
          <cell r="B1506">
            <v>2020</v>
          </cell>
          <cell r="C1506">
            <v>11</v>
          </cell>
          <cell r="E1506" t="str">
            <v>IND</v>
          </cell>
          <cell r="I1506">
            <v>34</v>
          </cell>
          <cell r="J1506">
            <v>31</v>
          </cell>
          <cell r="L1506">
            <v>0</v>
          </cell>
        </row>
        <row r="1507">
          <cell r="B1507">
            <v>2020</v>
          </cell>
          <cell r="C1507">
            <v>12</v>
          </cell>
          <cell r="E1507" t="str">
            <v>IND</v>
          </cell>
          <cell r="I1507">
            <v>26</v>
          </cell>
          <cell r="J1507">
            <v>45</v>
          </cell>
          <cell r="L1507">
            <v>0</v>
          </cell>
        </row>
        <row r="1508">
          <cell r="B1508">
            <v>2020</v>
          </cell>
          <cell r="C1508">
            <v>13</v>
          </cell>
          <cell r="E1508" t="str">
            <v>IND</v>
          </cell>
          <cell r="I1508">
            <v>26</v>
          </cell>
          <cell r="J1508">
            <v>20</v>
          </cell>
          <cell r="L1508">
            <v>0</v>
          </cell>
        </row>
        <row r="1509">
          <cell r="B1509">
            <v>2020</v>
          </cell>
          <cell r="C1509">
            <v>14</v>
          </cell>
          <cell r="E1509" t="str">
            <v>IND</v>
          </cell>
          <cell r="I1509">
            <v>44</v>
          </cell>
          <cell r="J1509">
            <v>27</v>
          </cell>
          <cell r="L1509">
            <v>0</v>
          </cell>
        </row>
        <row r="1510">
          <cell r="B1510">
            <v>2020</v>
          </cell>
          <cell r="C1510">
            <v>15</v>
          </cell>
          <cell r="E1510" t="str">
            <v>IND</v>
          </cell>
          <cell r="I1510">
            <v>27</v>
          </cell>
          <cell r="J1510">
            <v>20</v>
          </cell>
          <cell r="L1510">
            <v>0</v>
          </cell>
        </row>
        <row r="1511">
          <cell r="B1511">
            <v>2020</v>
          </cell>
          <cell r="C1511">
            <v>16</v>
          </cell>
          <cell r="E1511" t="str">
            <v>IND</v>
          </cell>
          <cell r="I1511">
            <v>24</v>
          </cell>
          <cell r="J1511">
            <v>28</v>
          </cell>
          <cell r="L1511">
            <v>0</v>
          </cell>
        </row>
        <row r="1512">
          <cell r="B1512">
            <v>2020</v>
          </cell>
          <cell r="C1512">
            <v>17</v>
          </cell>
          <cell r="E1512" t="str">
            <v>IND</v>
          </cell>
          <cell r="I1512">
            <v>28</v>
          </cell>
          <cell r="J1512">
            <v>14</v>
          </cell>
          <cell r="L1512">
            <v>0</v>
          </cell>
        </row>
        <row r="1513">
          <cell r="B1513">
            <v>2020</v>
          </cell>
          <cell r="C1513">
            <v>1</v>
          </cell>
          <cell r="E1513" t="str">
            <v>IND</v>
          </cell>
          <cell r="I1513">
            <v>24</v>
          </cell>
          <cell r="J1513">
            <v>27</v>
          </cell>
          <cell r="L1513">
            <v>1</v>
          </cell>
        </row>
        <row r="1514">
          <cell r="B1514">
            <v>2021</v>
          </cell>
          <cell r="C1514">
            <v>1</v>
          </cell>
          <cell r="E1514" t="str">
            <v>IND</v>
          </cell>
          <cell r="I1514">
            <v>16</v>
          </cell>
          <cell r="J1514">
            <v>28</v>
          </cell>
          <cell r="L1514">
            <v>0</v>
          </cell>
        </row>
        <row r="1515">
          <cell r="B1515">
            <v>2021</v>
          </cell>
          <cell r="C1515">
            <v>2</v>
          </cell>
          <cell r="E1515" t="str">
            <v>IND</v>
          </cell>
          <cell r="I1515">
            <v>24</v>
          </cell>
          <cell r="J1515">
            <v>27</v>
          </cell>
          <cell r="L1515">
            <v>0</v>
          </cell>
        </row>
        <row r="1516">
          <cell r="B1516">
            <v>2021</v>
          </cell>
          <cell r="C1516">
            <v>3</v>
          </cell>
          <cell r="E1516" t="str">
            <v>IND</v>
          </cell>
          <cell r="I1516">
            <v>16</v>
          </cell>
          <cell r="J1516">
            <v>25</v>
          </cell>
          <cell r="L1516">
            <v>0</v>
          </cell>
        </row>
        <row r="1517">
          <cell r="B1517">
            <v>2021</v>
          </cell>
          <cell r="C1517">
            <v>4</v>
          </cell>
          <cell r="E1517" t="str">
            <v>IND</v>
          </cell>
          <cell r="I1517">
            <v>27</v>
          </cell>
          <cell r="J1517">
            <v>17</v>
          </cell>
          <cell r="L1517">
            <v>0</v>
          </cell>
        </row>
        <row r="1518">
          <cell r="B1518">
            <v>2021</v>
          </cell>
          <cell r="C1518">
            <v>5</v>
          </cell>
          <cell r="E1518" t="str">
            <v>IND</v>
          </cell>
          <cell r="I1518">
            <v>25</v>
          </cell>
          <cell r="J1518">
            <v>31</v>
          </cell>
          <cell r="L1518">
            <v>0</v>
          </cell>
        </row>
        <row r="1519">
          <cell r="B1519">
            <v>2021</v>
          </cell>
          <cell r="C1519">
            <v>6</v>
          </cell>
          <cell r="E1519" t="str">
            <v>IND</v>
          </cell>
          <cell r="I1519">
            <v>31</v>
          </cell>
          <cell r="J1519">
            <v>3</v>
          </cell>
          <cell r="L1519">
            <v>0</v>
          </cell>
        </row>
        <row r="1520">
          <cell r="B1520">
            <v>2021</v>
          </cell>
          <cell r="C1520">
            <v>7</v>
          </cell>
          <cell r="E1520" t="str">
            <v>IND</v>
          </cell>
          <cell r="I1520">
            <v>30</v>
          </cell>
          <cell r="J1520">
            <v>18</v>
          </cell>
          <cell r="L1520">
            <v>0</v>
          </cell>
        </row>
        <row r="1521">
          <cell r="B1521">
            <v>2021</v>
          </cell>
          <cell r="C1521">
            <v>8</v>
          </cell>
          <cell r="E1521" t="str">
            <v>IND</v>
          </cell>
          <cell r="I1521">
            <v>31</v>
          </cell>
          <cell r="J1521">
            <v>34</v>
          </cell>
          <cell r="L1521">
            <v>0</v>
          </cell>
        </row>
        <row r="1522">
          <cell r="B1522">
            <v>2021</v>
          </cell>
          <cell r="C1522">
            <v>9</v>
          </cell>
          <cell r="E1522" t="str">
            <v>IND</v>
          </cell>
          <cell r="I1522">
            <v>45</v>
          </cell>
          <cell r="J1522">
            <v>30</v>
          </cell>
          <cell r="L1522">
            <v>0</v>
          </cell>
        </row>
        <row r="1523">
          <cell r="B1523">
            <v>2021</v>
          </cell>
          <cell r="C1523">
            <v>10</v>
          </cell>
          <cell r="E1523" t="str">
            <v>IND</v>
          </cell>
          <cell r="I1523">
            <v>23</v>
          </cell>
          <cell r="J1523">
            <v>17</v>
          </cell>
          <cell r="L1523">
            <v>0</v>
          </cell>
        </row>
        <row r="1524">
          <cell r="B1524">
            <v>2021</v>
          </cell>
          <cell r="C1524">
            <v>11</v>
          </cell>
          <cell r="E1524" t="str">
            <v>IND</v>
          </cell>
          <cell r="I1524">
            <v>41</v>
          </cell>
          <cell r="J1524">
            <v>15</v>
          </cell>
          <cell r="L1524">
            <v>0</v>
          </cell>
        </row>
        <row r="1525">
          <cell r="B1525">
            <v>2021</v>
          </cell>
          <cell r="C1525">
            <v>12</v>
          </cell>
          <cell r="E1525" t="str">
            <v>IND</v>
          </cell>
          <cell r="I1525">
            <v>31</v>
          </cell>
          <cell r="J1525">
            <v>38</v>
          </cell>
          <cell r="L1525">
            <v>0</v>
          </cell>
        </row>
        <row r="1526">
          <cell r="B1526">
            <v>2021</v>
          </cell>
          <cell r="C1526">
            <v>13</v>
          </cell>
          <cell r="E1526" t="str">
            <v>IND</v>
          </cell>
          <cell r="I1526">
            <v>31</v>
          </cell>
          <cell r="J1526">
            <v>0</v>
          </cell>
          <cell r="L1526">
            <v>0</v>
          </cell>
        </row>
        <row r="1527">
          <cell r="B1527">
            <v>2021</v>
          </cell>
          <cell r="C1527">
            <v>15</v>
          </cell>
          <cell r="E1527" t="str">
            <v>IND</v>
          </cell>
          <cell r="I1527">
            <v>27</v>
          </cell>
          <cell r="J1527">
            <v>17</v>
          </cell>
          <cell r="L1527">
            <v>0</v>
          </cell>
        </row>
        <row r="1528">
          <cell r="B1528">
            <v>2021</v>
          </cell>
          <cell r="C1528">
            <v>16</v>
          </cell>
          <cell r="E1528" t="str">
            <v>IND</v>
          </cell>
          <cell r="I1528">
            <v>22</v>
          </cell>
          <cell r="J1528">
            <v>16</v>
          </cell>
          <cell r="L1528">
            <v>0</v>
          </cell>
        </row>
        <row r="1529">
          <cell r="B1529">
            <v>2021</v>
          </cell>
          <cell r="C1529">
            <v>17</v>
          </cell>
          <cell r="E1529" t="str">
            <v>IND</v>
          </cell>
          <cell r="I1529">
            <v>20</v>
          </cell>
          <cell r="J1529">
            <v>23</v>
          </cell>
          <cell r="L1529">
            <v>0</v>
          </cell>
        </row>
        <row r="1530">
          <cell r="B1530">
            <v>2021</v>
          </cell>
          <cell r="C1530">
            <v>18</v>
          </cell>
          <cell r="E1530" t="str">
            <v>IND</v>
          </cell>
          <cell r="I1530">
            <v>11</v>
          </cell>
          <cell r="J1530">
            <v>26</v>
          </cell>
          <cell r="L1530">
            <v>0</v>
          </cell>
        </row>
        <row r="1531">
          <cell r="B1531">
            <v>2022</v>
          </cell>
          <cell r="C1531">
            <v>1</v>
          </cell>
          <cell r="E1531" t="str">
            <v>IND</v>
          </cell>
          <cell r="I1531">
            <v>20</v>
          </cell>
          <cell r="J1531">
            <v>20</v>
          </cell>
          <cell r="L1531">
            <v>0</v>
          </cell>
        </row>
        <row r="1532">
          <cell r="B1532">
            <v>2022</v>
          </cell>
          <cell r="C1532">
            <v>2</v>
          </cell>
          <cell r="E1532" t="str">
            <v>IND</v>
          </cell>
          <cell r="I1532">
            <v>0</v>
          </cell>
          <cell r="J1532">
            <v>24</v>
          </cell>
          <cell r="L1532">
            <v>0</v>
          </cell>
        </row>
        <row r="1533">
          <cell r="B1533">
            <v>2022</v>
          </cell>
          <cell r="C1533">
            <v>3</v>
          </cell>
          <cell r="E1533" t="str">
            <v>IND</v>
          </cell>
          <cell r="I1533">
            <v>20</v>
          </cell>
          <cell r="J1533">
            <v>17</v>
          </cell>
          <cell r="L1533">
            <v>0</v>
          </cell>
        </row>
        <row r="1534">
          <cell r="B1534">
            <v>2022</v>
          </cell>
          <cell r="C1534">
            <v>4</v>
          </cell>
          <cell r="E1534" t="str">
            <v>IND</v>
          </cell>
          <cell r="I1534">
            <v>17</v>
          </cell>
          <cell r="J1534">
            <v>24</v>
          </cell>
          <cell r="L1534">
            <v>0</v>
          </cell>
        </row>
        <row r="1535">
          <cell r="B1535">
            <v>2022</v>
          </cell>
          <cell r="C1535">
            <v>5</v>
          </cell>
          <cell r="E1535" t="str">
            <v>IND</v>
          </cell>
          <cell r="I1535">
            <v>12</v>
          </cell>
          <cell r="J1535">
            <v>9</v>
          </cell>
          <cell r="L1535">
            <v>0</v>
          </cell>
        </row>
        <row r="1536">
          <cell r="B1536">
            <v>2022</v>
          </cell>
          <cell r="C1536">
            <v>6</v>
          </cell>
          <cell r="E1536" t="str">
            <v>IND</v>
          </cell>
          <cell r="I1536">
            <v>34</v>
          </cell>
          <cell r="J1536">
            <v>27</v>
          </cell>
          <cell r="L1536">
            <v>0</v>
          </cell>
        </row>
        <row r="1537">
          <cell r="B1537">
            <v>2022</v>
          </cell>
          <cell r="C1537">
            <v>7</v>
          </cell>
          <cell r="E1537" t="str">
            <v>IND</v>
          </cell>
          <cell r="I1537">
            <v>10</v>
          </cell>
          <cell r="J1537">
            <v>19</v>
          </cell>
          <cell r="L1537">
            <v>0</v>
          </cell>
        </row>
        <row r="1538">
          <cell r="B1538">
            <v>2022</v>
          </cell>
          <cell r="C1538">
            <v>8</v>
          </cell>
          <cell r="E1538" t="str">
            <v>IND</v>
          </cell>
          <cell r="I1538">
            <v>16</v>
          </cell>
          <cell r="J1538">
            <v>17</v>
          </cell>
          <cell r="L1538">
            <v>0</v>
          </cell>
        </row>
        <row r="1539">
          <cell r="B1539">
            <v>2022</v>
          </cell>
          <cell r="C1539">
            <v>9</v>
          </cell>
          <cell r="E1539" t="str">
            <v>IND</v>
          </cell>
          <cell r="I1539">
            <v>3</v>
          </cell>
          <cell r="J1539">
            <v>26</v>
          </cell>
          <cell r="L1539">
            <v>0</v>
          </cell>
        </row>
        <row r="1540">
          <cell r="B1540">
            <v>2022</v>
          </cell>
          <cell r="C1540">
            <v>10</v>
          </cell>
          <cell r="E1540" t="str">
            <v>IND</v>
          </cell>
          <cell r="I1540">
            <v>25</v>
          </cell>
          <cell r="J1540">
            <v>20</v>
          </cell>
          <cell r="L1540">
            <v>0</v>
          </cell>
        </row>
        <row r="1541">
          <cell r="B1541">
            <v>2022</v>
          </cell>
          <cell r="C1541">
            <v>11</v>
          </cell>
          <cell r="E1541" t="str">
            <v>IND</v>
          </cell>
          <cell r="I1541">
            <v>16</v>
          </cell>
          <cell r="J1541">
            <v>17</v>
          </cell>
          <cell r="L1541">
            <v>0</v>
          </cell>
        </row>
        <row r="1542">
          <cell r="B1542">
            <v>2022</v>
          </cell>
          <cell r="C1542">
            <v>12</v>
          </cell>
          <cell r="E1542" t="str">
            <v>IND</v>
          </cell>
          <cell r="I1542">
            <v>17</v>
          </cell>
          <cell r="J1542">
            <v>24</v>
          </cell>
          <cell r="L1542">
            <v>0</v>
          </cell>
        </row>
        <row r="1543">
          <cell r="B1543">
            <v>2022</v>
          </cell>
          <cell r="C1543">
            <v>13</v>
          </cell>
          <cell r="E1543" t="str">
            <v>IND</v>
          </cell>
          <cell r="I1543">
            <v>19</v>
          </cell>
          <cell r="J1543">
            <v>54</v>
          </cell>
          <cell r="L1543">
            <v>0</v>
          </cell>
        </row>
        <row r="1544">
          <cell r="B1544">
            <v>2022</v>
          </cell>
          <cell r="C1544">
            <v>15</v>
          </cell>
          <cell r="E1544" t="str">
            <v>IND</v>
          </cell>
          <cell r="I1544">
            <v>36</v>
          </cell>
          <cell r="J1544">
            <v>39</v>
          </cell>
          <cell r="L1544">
            <v>0</v>
          </cell>
        </row>
        <row r="1545">
          <cell r="B1545">
            <v>2022</v>
          </cell>
          <cell r="C1545">
            <v>16</v>
          </cell>
          <cell r="E1545" t="str">
            <v>IND</v>
          </cell>
          <cell r="I1545">
            <v>3</v>
          </cell>
          <cell r="J1545">
            <v>20</v>
          </cell>
          <cell r="L1545">
            <v>0</v>
          </cell>
        </row>
        <row r="1546">
          <cell r="B1546">
            <v>2022</v>
          </cell>
          <cell r="C1546">
            <v>17</v>
          </cell>
          <cell r="E1546" t="str">
            <v>IND</v>
          </cell>
          <cell r="I1546">
            <v>10</v>
          </cell>
          <cell r="J1546">
            <v>38</v>
          </cell>
          <cell r="L1546">
            <v>0</v>
          </cell>
        </row>
        <row r="1547">
          <cell r="B1547">
            <v>2022</v>
          </cell>
          <cell r="C1547">
            <v>18</v>
          </cell>
          <cell r="E1547" t="str">
            <v>IND</v>
          </cell>
          <cell r="I1547">
            <v>31</v>
          </cell>
          <cell r="J1547">
            <v>32</v>
          </cell>
          <cell r="L1547">
            <v>0</v>
          </cell>
        </row>
        <row r="1548">
          <cell r="B1548">
            <v>2023</v>
          </cell>
          <cell r="C1548">
            <v>1</v>
          </cell>
          <cell r="E1548" t="str">
            <v>IND</v>
          </cell>
          <cell r="I1548">
            <v>21</v>
          </cell>
          <cell r="J1548">
            <v>31</v>
          </cell>
          <cell r="L1548">
            <v>0</v>
          </cell>
        </row>
        <row r="1549">
          <cell r="B1549">
            <v>2023</v>
          </cell>
          <cell r="C1549">
            <v>2</v>
          </cell>
          <cell r="E1549" t="str">
            <v>IND</v>
          </cell>
          <cell r="I1549">
            <v>31</v>
          </cell>
          <cell r="J1549">
            <v>20</v>
          </cell>
          <cell r="L1549">
            <v>0</v>
          </cell>
        </row>
        <row r="1550">
          <cell r="B1550">
            <v>2023</v>
          </cell>
          <cell r="C1550">
            <v>3</v>
          </cell>
          <cell r="E1550" t="str">
            <v>IND</v>
          </cell>
          <cell r="I1550">
            <v>22</v>
          </cell>
          <cell r="J1550">
            <v>19</v>
          </cell>
          <cell r="L1550">
            <v>0</v>
          </cell>
        </row>
        <row r="1551">
          <cell r="B1551">
            <v>2023</v>
          </cell>
          <cell r="C1551">
            <v>4</v>
          </cell>
          <cell r="E1551" t="str">
            <v>IND</v>
          </cell>
          <cell r="I1551">
            <v>23</v>
          </cell>
          <cell r="J1551">
            <v>29</v>
          </cell>
          <cell r="L1551">
            <v>0</v>
          </cell>
        </row>
        <row r="1552">
          <cell r="B1552">
            <v>2023</v>
          </cell>
          <cell r="C1552">
            <v>5</v>
          </cell>
          <cell r="E1552" t="str">
            <v>IND</v>
          </cell>
          <cell r="I1552">
            <v>23</v>
          </cell>
          <cell r="J1552">
            <v>16</v>
          </cell>
          <cell r="L1552">
            <v>0</v>
          </cell>
        </row>
        <row r="1553">
          <cell r="B1553">
            <v>2023</v>
          </cell>
          <cell r="C1553">
            <v>6</v>
          </cell>
          <cell r="E1553" t="str">
            <v>IND</v>
          </cell>
          <cell r="I1553">
            <v>20</v>
          </cell>
          <cell r="J1553">
            <v>37</v>
          </cell>
          <cell r="L1553">
            <v>0</v>
          </cell>
        </row>
        <row r="1554">
          <cell r="B1554">
            <v>2023</v>
          </cell>
          <cell r="C1554">
            <v>7</v>
          </cell>
          <cell r="E1554" t="str">
            <v>IND</v>
          </cell>
          <cell r="I1554">
            <v>38</v>
          </cell>
          <cell r="J1554">
            <v>39</v>
          </cell>
          <cell r="L1554">
            <v>0</v>
          </cell>
        </row>
        <row r="1555">
          <cell r="B1555">
            <v>2023</v>
          </cell>
          <cell r="C1555">
            <v>8</v>
          </cell>
          <cell r="E1555" t="str">
            <v>IND</v>
          </cell>
          <cell r="I1555">
            <v>27</v>
          </cell>
          <cell r="J1555">
            <v>38</v>
          </cell>
          <cell r="L1555">
            <v>0</v>
          </cell>
        </row>
        <row r="1556">
          <cell r="B1556">
            <v>2023</v>
          </cell>
          <cell r="C1556">
            <v>9</v>
          </cell>
          <cell r="E1556" t="str">
            <v>IND</v>
          </cell>
          <cell r="I1556">
            <v>27</v>
          </cell>
          <cell r="J1556">
            <v>13</v>
          </cell>
          <cell r="L1556">
            <v>0</v>
          </cell>
        </row>
        <row r="1557">
          <cell r="B1557">
            <v>2023</v>
          </cell>
          <cell r="C1557">
            <v>10</v>
          </cell>
          <cell r="E1557" t="str">
            <v>IND</v>
          </cell>
          <cell r="I1557">
            <v>10</v>
          </cell>
          <cell r="J1557">
            <v>6</v>
          </cell>
          <cell r="L1557">
            <v>0</v>
          </cell>
        </row>
        <row r="1558">
          <cell r="B1558">
            <v>2023</v>
          </cell>
          <cell r="C1558">
            <v>12</v>
          </cell>
          <cell r="E1558" t="str">
            <v>IND</v>
          </cell>
          <cell r="I1558">
            <v>27</v>
          </cell>
          <cell r="J1558">
            <v>20</v>
          </cell>
          <cell r="L1558">
            <v>0</v>
          </cell>
        </row>
        <row r="1559">
          <cell r="B1559">
            <v>2023</v>
          </cell>
          <cell r="C1559">
            <v>13</v>
          </cell>
          <cell r="E1559" t="str">
            <v>IND</v>
          </cell>
          <cell r="I1559">
            <v>31</v>
          </cell>
          <cell r="J1559">
            <v>28</v>
          </cell>
          <cell r="L1559">
            <v>0</v>
          </cell>
        </row>
        <row r="1560">
          <cell r="B1560">
            <v>2023</v>
          </cell>
          <cell r="C1560">
            <v>14</v>
          </cell>
          <cell r="E1560" t="str">
            <v>IND</v>
          </cell>
          <cell r="I1560">
            <v>14</v>
          </cell>
          <cell r="J1560">
            <v>34</v>
          </cell>
          <cell r="L1560">
            <v>0</v>
          </cell>
        </row>
        <row r="1561">
          <cell r="B1561">
            <v>2023</v>
          </cell>
          <cell r="C1561">
            <v>15</v>
          </cell>
          <cell r="E1561" t="str">
            <v>IND</v>
          </cell>
          <cell r="I1561">
            <v>30</v>
          </cell>
          <cell r="J1561">
            <v>13</v>
          </cell>
          <cell r="L1561">
            <v>0</v>
          </cell>
        </row>
        <row r="1562">
          <cell r="B1562">
            <v>2023</v>
          </cell>
          <cell r="C1562">
            <v>16</v>
          </cell>
          <cell r="E1562" t="str">
            <v>IND</v>
          </cell>
          <cell r="I1562">
            <v>10</v>
          </cell>
          <cell r="J1562">
            <v>29</v>
          </cell>
          <cell r="L1562">
            <v>0</v>
          </cell>
        </row>
        <row r="1563">
          <cell r="B1563">
            <v>2023</v>
          </cell>
          <cell r="C1563">
            <v>17</v>
          </cell>
          <cell r="E1563" t="str">
            <v>IND</v>
          </cell>
          <cell r="I1563">
            <v>23</v>
          </cell>
          <cell r="J1563">
            <v>20</v>
          </cell>
          <cell r="L1563">
            <v>0</v>
          </cell>
        </row>
        <row r="1564">
          <cell r="B1564">
            <v>2023</v>
          </cell>
          <cell r="C1564">
            <v>18</v>
          </cell>
          <cell r="E1564" t="str">
            <v>IND</v>
          </cell>
          <cell r="I1564">
            <v>19</v>
          </cell>
          <cell r="J1564">
            <v>23</v>
          </cell>
          <cell r="L1564">
            <v>0</v>
          </cell>
        </row>
        <row r="1565">
          <cell r="B1565">
            <v>2024</v>
          </cell>
          <cell r="C1565">
            <v>1</v>
          </cell>
          <cell r="E1565" t="str">
            <v>IND</v>
          </cell>
          <cell r="I1565">
            <v>27</v>
          </cell>
          <cell r="J1565">
            <v>29</v>
          </cell>
          <cell r="L1565">
            <v>0</v>
          </cell>
        </row>
        <row r="1566">
          <cell r="B1566">
            <v>2024</v>
          </cell>
          <cell r="C1566">
            <v>2</v>
          </cell>
          <cell r="E1566" t="str">
            <v>IND</v>
          </cell>
          <cell r="I1566">
            <v>10</v>
          </cell>
          <cell r="J1566">
            <v>16</v>
          </cell>
          <cell r="L1566">
            <v>0</v>
          </cell>
        </row>
        <row r="1567">
          <cell r="B1567">
            <v>2024</v>
          </cell>
          <cell r="C1567">
            <v>3</v>
          </cell>
          <cell r="E1567" t="str">
            <v>IND</v>
          </cell>
          <cell r="I1567">
            <v>21</v>
          </cell>
          <cell r="J1567">
            <v>16</v>
          </cell>
          <cell r="L1567">
            <v>0</v>
          </cell>
        </row>
        <row r="1568">
          <cell r="B1568">
            <v>2024</v>
          </cell>
          <cell r="C1568">
            <v>4</v>
          </cell>
          <cell r="E1568" t="str">
            <v>IND</v>
          </cell>
          <cell r="I1568">
            <v>27</v>
          </cell>
          <cell r="J1568">
            <v>24</v>
          </cell>
          <cell r="L1568">
            <v>0</v>
          </cell>
        </row>
        <row r="1569">
          <cell r="B1569">
            <v>2024</v>
          </cell>
          <cell r="C1569">
            <v>5</v>
          </cell>
          <cell r="E1569" t="str">
            <v>IND</v>
          </cell>
          <cell r="I1569">
            <v>34</v>
          </cell>
          <cell r="J1569">
            <v>37</v>
          </cell>
          <cell r="L1569">
            <v>0</v>
          </cell>
        </row>
        <row r="1570">
          <cell r="B1570">
            <v>2024</v>
          </cell>
          <cell r="C1570">
            <v>6</v>
          </cell>
          <cell r="E1570" t="str">
            <v>IND</v>
          </cell>
          <cell r="I1570">
            <v>20</v>
          </cell>
          <cell r="J1570">
            <v>17</v>
          </cell>
          <cell r="L1570">
            <v>0</v>
          </cell>
        </row>
        <row r="1571">
          <cell r="B1571">
            <v>2024</v>
          </cell>
          <cell r="C1571">
            <v>7</v>
          </cell>
          <cell r="E1571" t="str">
            <v>IND</v>
          </cell>
          <cell r="I1571">
            <v>16</v>
          </cell>
          <cell r="J1571">
            <v>10</v>
          </cell>
          <cell r="L1571">
            <v>0</v>
          </cell>
        </row>
        <row r="1572">
          <cell r="B1572">
            <v>2024</v>
          </cell>
          <cell r="C1572">
            <v>8</v>
          </cell>
          <cell r="E1572" t="str">
            <v>IND</v>
          </cell>
          <cell r="I1572">
            <v>20</v>
          </cell>
          <cell r="J1572">
            <v>23</v>
          </cell>
          <cell r="L1572">
            <v>0</v>
          </cell>
        </row>
        <row r="1573">
          <cell r="B1573">
            <v>2024</v>
          </cell>
          <cell r="C1573">
            <v>9</v>
          </cell>
          <cell r="E1573" t="str">
            <v>IND</v>
          </cell>
          <cell r="I1573">
            <v>13</v>
          </cell>
          <cell r="J1573">
            <v>21</v>
          </cell>
          <cell r="L1573">
            <v>0</v>
          </cell>
        </row>
        <row r="1574">
          <cell r="B1574">
            <v>2024</v>
          </cell>
          <cell r="C1574">
            <v>10</v>
          </cell>
          <cell r="E1574" t="str">
            <v>IND</v>
          </cell>
          <cell r="I1574">
            <v>20</v>
          </cell>
          <cell r="J1574">
            <v>30</v>
          </cell>
          <cell r="L1574">
            <v>0</v>
          </cell>
        </row>
        <row r="1575">
          <cell r="B1575">
            <v>2024</v>
          </cell>
          <cell r="C1575">
            <v>11</v>
          </cell>
          <cell r="E1575" t="str">
            <v>IND</v>
          </cell>
          <cell r="I1575">
            <v>28</v>
          </cell>
          <cell r="J1575">
            <v>27</v>
          </cell>
          <cell r="L1575">
            <v>0</v>
          </cell>
        </row>
        <row r="1576">
          <cell r="B1576">
            <v>2024</v>
          </cell>
          <cell r="C1576">
            <v>12</v>
          </cell>
          <cell r="E1576" t="str">
            <v>IND</v>
          </cell>
          <cell r="I1576">
            <v>6</v>
          </cell>
          <cell r="J1576">
            <v>24</v>
          </cell>
          <cell r="L1576">
            <v>0</v>
          </cell>
        </row>
        <row r="1577">
          <cell r="B1577">
            <v>2024</v>
          </cell>
          <cell r="C1577">
            <v>13</v>
          </cell>
          <cell r="E1577" t="str">
            <v>IND</v>
          </cell>
          <cell r="I1577">
            <v>25</v>
          </cell>
          <cell r="J1577">
            <v>24</v>
          </cell>
          <cell r="L1577">
            <v>0</v>
          </cell>
        </row>
        <row r="1578">
          <cell r="B1578">
            <v>2024</v>
          </cell>
          <cell r="C1578">
            <v>15</v>
          </cell>
          <cell r="E1578" t="str">
            <v>IND</v>
          </cell>
          <cell r="I1578">
            <v>13</v>
          </cell>
          <cell r="J1578">
            <v>31</v>
          </cell>
          <cell r="L1578">
            <v>0</v>
          </cell>
        </row>
        <row r="1579">
          <cell r="B1579">
            <v>2024</v>
          </cell>
          <cell r="C1579">
            <v>16</v>
          </cell>
          <cell r="E1579" t="str">
            <v>IND</v>
          </cell>
          <cell r="I1579">
            <v>38</v>
          </cell>
          <cell r="J1579">
            <v>30</v>
          </cell>
          <cell r="L1579">
            <v>0</v>
          </cell>
        </row>
        <row r="1580">
          <cell r="B1580">
            <v>2024</v>
          </cell>
          <cell r="C1580">
            <v>17</v>
          </cell>
          <cell r="E1580" t="str">
            <v>IND</v>
          </cell>
          <cell r="I1580">
            <v>33</v>
          </cell>
          <cell r="J1580">
            <v>45</v>
          </cell>
          <cell r="L1580">
            <v>0</v>
          </cell>
        </row>
        <row r="1581">
          <cell r="B1581">
            <v>2024</v>
          </cell>
          <cell r="C1581">
            <v>18</v>
          </cell>
          <cell r="E1581" t="str">
            <v>IND</v>
          </cell>
          <cell r="I1581">
            <v>26</v>
          </cell>
          <cell r="J1581">
            <v>23</v>
          </cell>
          <cell r="L1581">
            <v>0</v>
          </cell>
        </row>
        <row r="1582">
          <cell r="B1582">
            <v>2025</v>
          </cell>
          <cell r="C1582">
            <v>1</v>
          </cell>
          <cell r="E1582" t="str">
            <v>IND</v>
          </cell>
          <cell r="I1582">
            <v>33</v>
          </cell>
          <cell r="J1582">
            <v>8</v>
          </cell>
          <cell r="L1582">
            <v>0</v>
          </cell>
        </row>
        <row r="1583">
          <cell r="B1583">
            <v>2025</v>
          </cell>
          <cell r="C1583">
            <v>2</v>
          </cell>
          <cell r="E1583" t="str">
            <v>IND</v>
          </cell>
          <cell r="I1583">
            <v>29</v>
          </cell>
          <cell r="J1583">
            <v>28</v>
          </cell>
          <cell r="L1583">
            <v>0</v>
          </cell>
        </row>
        <row r="1584">
          <cell r="B1584">
            <v>2025</v>
          </cell>
          <cell r="C1584">
            <v>3</v>
          </cell>
          <cell r="E1584" t="str">
            <v>IND</v>
          </cell>
          <cell r="I1584">
            <v>41</v>
          </cell>
          <cell r="J1584">
            <v>20</v>
          </cell>
          <cell r="L1584">
            <v>0</v>
          </cell>
        </row>
        <row r="1585">
          <cell r="B1585">
            <v>2025</v>
          </cell>
          <cell r="C1585">
            <v>4</v>
          </cell>
          <cell r="E1585" t="str">
            <v>IND</v>
          </cell>
          <cell r="I1585">
            <v>20</v>
          </cell>
          <cell r="J1585">
            <v>27</v>
          </cell>
          <cell r="L1585">
            <v>0</v>
          </cell>
        </row>
        <row r="1586">
          <cell r="B1586">
            <v>2025</v>
          </cell>
          <cell r="C1586">
            <v>5</v>
          </cell>
          <cell r="E1586" t="str">
            <v>IND</v>
          </cell>
          <cell r="I1586">
            <v>40</v>
          </cell>
          <cell r="J1586">
            <v>6</v>
          </cell>
          <cell r="L1586">
            <v>0</v>
          </cell>
        </row>
        <row r="1587">
          <cell r="B1587">
            <v>2025</v>
          </cell>
          <cell r="C1587">
            <v>6</v>
          </cell>
          <cell r="E1587" t="str">
            <v>IND</v>
          </cell>
          <cell r="I1587">
            <v>31</v>
          </cell>
          <cell r="J1587">
            <v>27</v>
          </cell>
          <cell r="L1587">
            <v>0</v>
          </cell>
        </row>
        <row r="1588">
          <cell r="B1588">
            <v>2025</v>
          </cell>
          <cell r="C1588">
            <v>7</v>
          </cell>
          <cell r="E1588" t="str">
            <v>IND</v>
          </cell>
          <cell r="I1588">
            <v>38</v>
          </cell>
          <cell r="J1588">
            <v>24</v>
          </cell>
          <cell r="L1588">
            <v>0</v>
          </cell>
        </row>
        <row r="1589">
          <cell r="B1589">
            <v>2025</v>
          </cell>
          <cell r="C1589">
            <v>8</v>
          </cell>
          <cell r="E1589" t="str">
            <v>IND</v>
          </cell>
          <cell r="I1589">
            <v>38</v>
          </cell>
          <cell r="J1589">
            <v>14</v>
          </cell>
          <cell r="L1589">
            <v>0</v>
          </cell>
        </row>
        <row r="1590">
          <cell r="B1590">
            <v>2025</v>
          </cell>
          <cell r="C1590">
            <v>9</v>
          </cell>
          <cell r="E1590" t="str">
            <v>IND</v>
          </cell>
          <cell r="I1590">
            <v>20</v>
          </cell>
          <cell r="J1590">
            <v>27</v>
          </cell>
          <cell r="L1590">
            <v>0</v>
          </cell>
        </row>
        <row r="1591">
          <cell r="B1591">
            <v>2025</v>
          </cell>
          <cell r="C1591">
            <v>10</v>
          </cell>
          <cell r="E1591" t="str">
            <v>IND</v>
          </cell>
          <cell r="I1591">
            <v>31</v>
          </cell>
          <cell r="J1591">
            <v>25</v>
          </cell>
          <cell r="L1591">
            <v>0</v>
          </cell>
        </row>
        <row r="1592">
          <cell r="B1592">
            <v>2025</v>
          </cell>
          <cell r="C1592">
            <v>12</v>
          </cell>
          <cell r="E1592" t="str">
            <v>IND</v>
          </cell>
          <cell r="I1592">
            <v>20</v>
          </cell>
          <cell r="J1592">
            <v>23</v>
          </cell>
          <cell r="L1592">
            <v>0</v>
          </cell>
        </row>
        <row r="1593">
          <cell r="B1593">
            <v>2025</v>
          </cell>
          <cell r="C1593">
            <v>13</v>
          </cell>
          <cell r="E1593" t="str">
            <v>IND</v>
          </cell>
          <cell r="I1593">
            <v>16</v>
          </cell>
          <cell r="J1593">
            <v>20</v>
          </cell>
          <cell r="L1593">
            <v>0</v>
          </cell>
        </row>
        <row r="1594">
          <cell r="B1594">
            <v>2025</v>
          </cell>
          <cell r="C1594">
            <v>14</v>
          </cell>
          <cell r="E1594" t="str">
            <v>IND</v>
          </cell>
          <cell r="I1594">
            <v>19</v>
          </cell>
          <cell r="J1594">
            <v>36</v>
          </cell>
          <cell r="L1594">
            <v>0</v>
          </cell>
        </row>
        <row r="1595">
          <cell r="B1595">
            <v>2025</v>
          </cell>
          <cell r="C1595">
            <v>15</v>
          </cell>
          <cell r="E1595" t="str">
            <v>IND</v>
          </cell>
          <cell r="I1595">
            <v>16</v>
          </cell>
          <cell r="J1595">
            <v>18</v>
          </cell>
          <cell r="L1595">
            <v>0</v>
          </cell>
        </row>
        <row r="1596">
          <cell r="B1596">
            <v>2025</v>
          </cell>
          <cell r="C1596">
            <v>16</v>
          </cell>
          <cell r="E1596" t="str">
            <v>IND</v>
          </cell>
          <cell r="I1596">
            <v>27</v>
          </cell>
          <cell r="J1596">
            <v>48</v>
          </cell>
          <cell r="L1596">
            <v>0</v>
          </cell>
        </row>
        <row r="1597">
          <cell r="B1597">
            <v>2025</v>
          </cell>
          <cell r="C1597">
            <v>17</v>
          </cell>
          <cell r="E1597" t="str">
            <v>IND</v>
          </cell>
          <cell r="I1597">
            <v>17</v>
          </cell>
          <cell r="J1597">
            <v>23</v>
          </cell>
          <cell r="L1597">
            <v>0</v>
          </cell>
        </row>
        <row r="1598">
          <cell r="B1598">
            <v>2025</v>
          </cell>
          <cell r="C1598">
            <v>18</v>
          </cell>
          <cell r="E1598" t="str">
            <v>IND</v>
          </cell>
          <cell r="I1598">
            <v>30</v>
          </cell>
          <cell r="J1598">
            <v>38</v>
          </cell>
          <cell r="L1598">
            <v>0</v>
          </cell>
        </row>
        <row r="1599">
          <cell r="B1599">
            <v>2026</v>
          </cell>
          <cell r="C1599">
            <v>1</v>
          </cell>
          <cell r="E1599" t="str">
            <v>IND</v>
          </cell>
          <cell r="I1599">
            <v>23</v>
          </cell>
          <cell r="J1599">
            <v>41</v>
          </cell>
          <cell r="L1599">
            <v>0</v>
          </cell>
        </row>
        <row r="1600">
          <cell r="B1600">
            <v>2026</v>
          </cell>
          <cell r="C1600">
            <v>2</v>
          </cell>
          <cell r="E1600" t="str">
            <v>IND</v>
          </cell>
          <cell r="I1600">
            <v>30</v>
          </cell>
          <cell r="J1600">
            <v>33</v>
          </cell>
          <cell r="L1600">
            <v>0</v>
          </cell>
        </row>
        <row r="1601">
          <cell r="B1601">
            <v>2026</v>
          </cell>
          <cell r="C1601">
            <v>3</v>
          </cell>
          <cell r="E1601" t="str">
            <v>IND</v>
          </cell>
          <cell r="I1601">
            <v>19</v>
          </cell>
          <cell r="J1601">
            <v>17</v>
          </cell>
          <cell r="L1601">
            <v>0</v>
          </cell>
        </row>
        <row r="1602">
          <cell r="B1602">
            <v>2026</v>
          </cell>
          <cell r="C1602">
            <v>4</v>
          </cell>
          <cell r="E1602" t="str">
            <v>IND</v>
          </cell>
          <cell r="I1602">
            <v>30</v>
          </cell>
          <cell r="J1602">
            <v>13</v>
          </cell>
          <cell r="L1602">
            <v>0</v>
          </cell>
        </row>
        <row r="1603">
          <cell r="B1603">
            <v>2026</v>
          </cell>
          <cell r="C1603">
            <v>5</v>
          </cell>
          <cell r="E1603" t="str">
            <v>IND</v>
          </cell>
          <cell r="I1603">
            <v>22</v>
          </cell>
          <cell r="J1603">
            <v>34</v>
          </cell>
          <cell r="L1603">
            <v>0</v>
          </cell>
        </row>
        <row r="1604">
          <cell r="B1604">
            <v>2026</v>
          </cell>
          <cell r="C1604">
            <v>6</v>
          </cell>
          <cell r="E1604" t="str">
            <v>IND</v>
          </cell>
          <cell r="I1604">
            <v>20</v>
          </cell>
          <cell r="J1604">
            <v>26</v>
          </cell>
          <cell r="L1604">
            <v>0</v>
          </cell>
        </row>
        <row r="1605">
          <cell r="B1605">
            <v>2026</v>
          </cell>
          <cell r="C1605">
            <v>7</v>
          </cell>
          <cell r="E1605" t="str">
            <v>IND</v>
          </cell>
          <cell r="L1605">
            <v>0</v>
          </cell>
        </row>
        <row r="1606">
          <cell r="B1606">
            <v>2018</v>
          </cell>
          <cell r="C1606">
            <v>1</v>
          </cell>
          <cell r="E1606" t="str">
            <v>JAX</v>
          </cell>
          <cell r="I1606">
            <v>20</v>
          </cell>
          <cell r="J1606">
            <v>15</v>
          </cell>
          <cell r="L1606">
            <v>0</v>
          </cell>
        </row>
        <row r="1607">
          <cell r="B1607">
            <v>2018</v>
          </cell>
          <cell r="C1607">
            <v>2</v>
          </cell>
          <cell r="E1607" t="str">
            <v>JAX</v>
          </cell>
          <cell r="I1607">
            <v>31</v>
          </cell>
          <cell r="J1607">
            <v>20</v>
          </cell>
          <cell r="L1607">
            <v>0</v>
          </cell>
        </row>
        <row r="1608">
          <cell r="B1608">
            <v>2018</v>
          </cell>
          <cell r="C1608">
            <v>3</v>
          </cell>
          <cell r="E1608" t="str">
            <v>JAX</v>
          </cell>
          <cell r="I1608">
            <v>6</v>
          </cell>
          <cell r="J1608">
            <v>9</v>
          </cell>
          <cell r="L1608">
            <v>0</v>
          </cell>
        </row>
        <row r="1609">
          <cell r="B1609">
            <v>2018</v>
          </cell>
          <cell r="C1609">
            <v>4</v>
          </cell>
          <cell r="E1609" t="str">
            <v>JAX</v>
          </cell>
          <cell r="I1609">
            <v>31</v>
          </cell>
          <cell r="J1609">
            <v>12</v>
          </cell>
          <cell r="L1609">
            <v>0</v>
          </cell>
        </row>
        <row r="1610">
          <cell r="B1610">
            <v>2018</v>
          </cell>
          <cell r="C1610">
            <v>5</v>
          </cell>
          <cell r="E1610" t="str">
            <v>JAX</v>
          </cell>
          <cell r="I1610">
            <v>14</v>
          </cell>
          <cell r="J1610">
            <v>30</v>
          </cell>
          <cell r="L1610">
            <v>0</v>
          </cell>
        </row>
        <row r="1611">
          <cell r="B1611">
            <v>2018</v>
          </cell>
          <cell r="C1611">
            <v>6</v>
          </cell>
          <cell r="E1611" t="str">
            <v>JAX</v>
          </cell>
          <cell r="I1611">
            <v>7</v>
          </cell>
          <cell r="J1611">
            <v>40</v>
          </cell>
          <cell r="L1611">
            <v>0</v>
          </cell>
        </row>
        <row r="1612">
          <cell r="B1612">
            <v>2018</v>
          </cell>
          <cell r="C1612">
            <v>7</v>
          </cell>
          <cell r="E1612" t="str">
            <v>JAX</v>
          </cell>
          <cell r="I1612">
            <v>7</v>
          </cell>
          <cell r="J1612">
            <v>20</v>
          </cell>
          <cell r="L1612">
            <v>0</v>
          </cell>
        </row>
        <row r="1613">
          <cell r="B1613">
            <v>2018</v>
          </cell>
          <cell r="C1613">
            <v>8</v>
          </cell>
          <cell r="E1613" t="str">
            <v>JAX</v>
          </cell>
          <cell r="I1613">
            <v>18</v>
          </cell>
          <cell r="J1613">
            <v>24</v>
          </cell>
          <cell r="L1613">
            <v>0</v>
          </cell>
        </row>
        <row r="1614">
          <cell r="B1614">
            <v>2018</v>
          </cell>
          <cell r="C1614">
            <v>10</v>
          </cell>
          <cell r="E1614" t="str">
            <v>JAX</v>
          </cell>
          <cell r="I1614">
            <v>26</v>
          </cell>
          <cell r="J1614">
            <v>29</v>
          </cell>
          <cell r="L1614">
            <v>0</v>
          </cell>
        </row>
        <row r="1615">
          <cell r="B1615">
            <v>2018</v>
          </cell>
          <cell r="C1615">
            <v>11</v>
          </cell>
          <cell r="E1615" t="str">
            <v>JAX</v>
          </cell>
          <cell r="I1615">
            <v>16</v>
          </cell>
          <cell r="J1615">
            <v>20</v>
          </cell>
          <cell r="L1615">
            <v>0</v>
          </cell>
        </row>
        <row r="1616">
          <cell r="B1616">
            <v>2018</v>
          </cell>
          <cell r="C1616">
            <v>12</v>
          </cell>
          <cell r="E1616" t="str">
            <v>JAX</v>
          </cell>
          <cell r="I1616">
            <v>21</v>
          </cell>
          <cell r="J1616">
            <v>24</v>
          </cell>
          <cell r="L1616">
            <v>0</v>
          </cell>
        </row>
        <row r="1617">
          <cell r="B1617">
            <v>2018</v>
          </cell>
          <cell r="C1617">
            <v>13</v>
          </cell>
          <cell r="E1617" t="str">
            <v>JAX</v>
          </cell>
          <cell r="I1617">
            <v>6</v>
          </cell>
          <cell r="J1617">
            <v>0</v>
          </cell>
          <cell r="L1617">
            <v>0</v>
          </cell>
        </row>
        <row r="1618">
          <cell r="B1618">
            <v>2018</v>
          </cell>
          <cell r="C1618">
            <v>14</v>
          </cell>
          <cell r="E1618" t="str">
            <v>JAX</v>
          </cell>
          <cell r="I1618">
            <v>9</v>
          </cell>
          <cell r="J1618">
            <v>30</v>
          </cell>
          <cell r="L1618">
            <v>0</v>
          </cell>
        </row>
        <row r="1619">
          <cell r="B1619">
            <v>2018</v>
          </cell>
          <cell r="C1619">
            <v>15</v>
          </cell>
          <cell r="E1619" t="str">
            <v>JAX</v>
          </cell>
          <cell r="I1619">
            <v>13</v>
          </cell>
          <cell r="J1619">
            <v>16</v>
          </cell>
          <cell r="L1619">
            <v>0</v>
          </cell>
        </row>
        <row r="1620">
          <cell r="B1620">
            <v>2018</v>
          </cell>
          <cell r="C1620">
            <v>16</v>
          </cell>
          <cell r="E1620" t="str">
            <v>JAX</v>
          </cell>
          <cell r="I1620">
            <v>17</v>
          </cell>
          <cell r="J1620">
            <v>7</v>
          </cell>
          <cell r="L1620">
            <v>0</v>
          </cell>
        </row>
        <row r="1621">
          <cell r="B1621">
            <v>2018</v>
          </cell>
          <cell r="C1621">
            <v>17</v>
          </cell>
          <cell r="E1621" t="str">
            <v>JAX</v>
          </cell>
          <cell r="I1621">
            <v>3</v>
          </cell>
          <cell r="J1621">
            <v>20</v>
          </cell>
          <cell r="L1621">
            <v>0</v>
          </cell>
        </row>
        <row r="1622">
          <cell r="B1622">
            <v>2019</v>
          </cell>
          <cell r="C1622">
            <v>1</v>
          </cell>
          <cell r="E1622" t="str">
            <v>JAX</v>
          </cell>
          <cell r="I1622">
            <v>26</v>
          </cell>
          <cell r="J1622">
            <v>40</v>
          </cell>
          <cell r="L1622">
            <v>0</v>
          </cell>
        </row>
        <row r="1623">
          <cell r="B1623">
            <v>2019</v>
          </cell>
          <cell r="C1623">
            <v>2</v>
          </cell>
          <cell r="E1623" t="str">
            <v>JAX</v>
          </cell>
          <cell r="I1623">
            <v>12</v>
          </cell>
          <cell r="J1623">
            <v>13</v>
          </cell>
          <cell r="L1623">
            <v>0</v>
          </cell>
        </row>
        <row r="1624">
          <cell r="B1624">
            <v>2019</v>
          </cell>
          <cell r="C1624">
            <v>3</v>
          </cell>
          <cell r="E1624" t="str">
            <v>JAX</v>
          </cell>
          <cell r="I1624">
            <v>20</v>
          </cell>
          <cell r="J1624">
            <v>7</v>
          </cell>
          <cell r="L1624">
            <v>0</v>
          </cell>
        </row>
        <row r="1625">
          <cell r="B1625">
            <v>2019</v>
          </cell>
          <cell r="C1625">
            <v>4</v>
          </cell>
          <cell r="E1625" t="str">
            <v>JAX</v>
          </cell>
          <cell r="I1625">
            <v>26</v>
          </cell>
          <cell r="J1625">
            <v>24</v>
          </cell>
          <cell r="L1625">
            <v>0</v>
          </cell>
        </row>
        <row r="1626">
          <cell r="B1626">
            <v>2019</v>
          </cell>
          <cell r="C1626">
            <v>5</v>
          </cell>
          <cell r="E1626" t="str">
            <v>JAX</v>
          </cell>
          <cell r="I1626">
            <v>27</v>
          </cell>
          <cell r="J1626">
            <v>34</v>
          </cell>
          <cell r="L1626">
            <v>0</v>
          </cell>
        </row>
        <row r="1627">
          <cell r="B1627">
            <v>2019</v>
          </cell>
          <cell r="C1627">
            <v>6</v>
          </cell>
          <cell r="E1627" t="str">
            <v>JAX</v>
          </cell>
          <cell r="I1627">
            <v>6</v>
          </cell>
          <cell r="J1627">
            <v>13</v>
          </cell>
          <cell r="L1627">
            <v>0</v>
          </cell>
        </row>
        <row r="1628">
          <cell r="B1628">
            <v>2019</v>
          </cell>
          <cell r="C1628">
            <v>7</v>
          </cell>
          <cell r="E1628" t="str">
            <v>JAX</v>
          </cell>
          <cell r="I1628">
            <v>27</v>
          </cell>
          <cell r="J1628">
            <v>17</v>
          </cell>
          <cell r="L1628">
            <v>0</v>
          </cell>
        </row>
        <row r="1629">
          <cell r="B1629">
            <v>2019</v>
          </cell>
          <cell r="C1629">
            <v>8</v>
          </cell>
          <cell r="E1629" t="str">
            <v>JAX</v>
          </cell>
          <cell r="I1629">
            <v>29</v>
          </cell>
          <cell r="J1629">
            <v>15</v>
          </cell>
          <cell r="L1629">
            <v>0</v>
          </cell>
        </row>
        <row r="1630">
          <cell r="B1630">
            <v>2019</v>
          </cell>
          <cell r="C1630">
            <v>9</v>
          </cell>
          <cell r="E1630" t="str">
            <v>JAX</v>
          </cell>
          <cell r="I1630">
            <v>3</v>
          </cell>
          <cell r="J1630">
            <v>26</v>
          </cell>
          <cell r="L1630">
            <v>0</v>
          </cell>
        </row>
        <row r="1631">
          <cell r="B1631">
            <v>2019</v>
          </cell>
          <cell r="C1631">
            <v>11</v>
          </cell>
          <cell r="E1631" t="str">
            <v>JAX</v>
          </cell>
          <cell r="I1631">
            <v>13</v>
          </cell>
          <cell r="J1631">
            <v>33</v>
          </cell>
          <cell r="L1631">
            <v>0</v>
          </cell>
        </row>
        <row r="1632">
          <cell r="B1632">
            <v>2019</v>
          </cell>
          <cell r="C1632">
            <v>12</v>
          </cell>
          <cell r="E1632" t="str">
            <v>JAX</v>
          </cell>
          <cell r="I1632">
            <v>20</v>
          </cell>
          <cell r="J1632">
            <v>42</v>
          </cell>
          <cell r="L1632">
            <v>0</v>
          </cell>
        </row>
        <row r="1633">
          <cell r="B1633">
            <v>2019</v>
          </cell>
          <cell r="C1633">
            <v>13</v>
          </cell>
          <cell r="E1633" t="str">
            <v>JAX</v>
          </cell>
          <cell r="I1633">
            <v>11</v>
          </cell>
          <cell r="J1633">
            <v>28</v>
          </cell>
          <cell r="L1633">
            <v>0</v>
          </cell>
        </row>
        <row r="1634">
          <cell r="B1634">
            <v>2019</v>
          </cell>
          <cell r="C1634">
            <v>14</v>
          </cell>
          <cell r="E1634" t="str">
            <v>JAX</v>
          </cell>
          <cell r="I1634">
            <v>10</v>
          </cell>
          <cell r="J1634">
            <v>45</v>
          </cell>
          <cell r="L1634">
            <v>0</v>
          </cell>
        </row>
        <row r="1635">
          <cell r="B1635">
            <v>2019</v>
          </cell>
          <cell r="C1635">
            <v>15</v>
          </cell>
          <cell r="E1635" t="str">
            <v>JAX</v>
          </cell>
          <cell r="I1635">
            <v>20</v>
          </cell>
          <cell r="J1635">
            <v>16</v>
          </cell>
          <cell r="L1635">
            <v>0</v>
          </cell>
        </row>
        <row r="1636">
          <cell r="B1636">
            <v>2019</v>
          </cell>
          <cell r="C1636">
            <v>16</v>
          </cell>
          <cell r="E1636" t="str">
            <v>JAX</v>
          </cell>
          <cell r="I1636">
            <v>12</v>
          </cell>
          <cell r="J1636">
            <v>24</v>
          </cell>
          <cell r="L1636">
            <v>0</v>
          </cell>
        </row>
        <row r="1637">
          <cell r="B1637">
            <v>2019</v>
          </cell>
          <cell r="C1637">
            <v>17</v>
          </cell>
          <cell r="E1637" t="str">
            <v>JAX</v>
          </cell>
          <cell r="I1637">
            <v>38</v>
          </cell>
          <cell r="J1637">
            <v>20</v>
          </cell>
          <cell r="L1637">
            <v>0</v>
          </cell>
        </row>
        <row r="1638">
          <cell r="B1638">
            <v>2020</v>
          </cell>
          <cell r="C1638">
            <v>1</v>
          </cell>
          <cell r="E1638" t="str">
            <v>JAX</v>
          </cell>
          <cell r="I1638">
            <v>27</v>
          </cell>
          <cell r="J1638">
            <v>20</v>
          </cell>
          <cell r="L1638">
            <v>0</v>
          </cell>
        </row>
        <row r="1639">
          <cell r="B1639">
            <v>2020</v>
          </cell>
          <cell r="C1639">
            <v>2</v>
          </cell>
          <cell r="E1639" t="str">
            <v>JAX</v>
          </cell>
          <cell r="I1639">
            <v>30</v>
          </cell>
          <cell r="J1639">
            <v>33</v>
          </cell>
          <cell r="L1639">
            <v>0</v>
          </cell>
        </row>
        <row r="1640">
          <cell r="B1640">
            <v>2020</v>
          </cell>
          <cell r="C1640">
            <v>3</v>
          </cell>
          <cell r="E1640" t="str">
            <v>JAX</v>
          </cell>
          <cell r="I1640">
            <v>13</v>
          </cell>
          <cell r="J1640">
            <v>31</v>
          </cell>
          <cell r="L1640">
            <v>0</v>
          </cell>
        </row>
        <row r="1641">
          <cell r="B1641">
            <v>2020</v>
          </cell>
          <cell r="C1641">
            <v>4</v>
          </cell>
          <cell r="E1641" t="str">
            <v>JAX</v>
          </cell>
          <cell r="I1641">
            <v>25</v>
          </cell>
          <cell r="J1641">
            <v>33</v>
          </cell>
          <cell r="L1641">
            <v>0</v>
          </cell>
        </row>
        <row r="1642">
          <cell r="B1642">
            <v>2020</v>
          </cell>
          <cell r="C1642">
            <v>5</v>
          </cell>
          <cell r="E1642" t="str">
            <v>JAX</v>
          </cell>
          <cell r="I1642">
            <v>14</v>
          </cell>
          <cell r="J1642">
            <v>30</v>
          </cell>
          <cell r="L1642">
            <v>0</v>
          </cell>
        </row>
        <row r="1643">
          <cell r="B1643">
            <v>2020</v>
          </cell>
          <cell r="C1643">
            <v>6</v>
          </cell>
          <cell r="E1643" t="str">
            <v>JAX</v>
          </cell>
          <cell r="I1643">
            <v>16</v>
          </cell>
          <cell r="J1643">
            <v>34</v>
          </cell>
          <cell r="L1643">
            <v>0</v>
          </cell>
        </row>
        <row r="1644">
          <cell r="B1644">
            <v>2020</v>
          </cell>
          <cell r="C1644">
            <v>7</v>
          </cell>
          <cell r="E1644" t="str">
            <v>JAX</v>
          </cell>
          <cell r="I1644">
            <v>29</v>
          </cell>
          <cell r="J1644">
            <v>39</v>
          </cell>
          <cell r="L1644">
            <v>0</v>
          </cell>
        </row>
        <row r="1645">
          <cell r="B1645">
            <v>2020</v>
          </cell>
          <cell r="C1645">
            <v>9</v>
          </cell>
          <cell r="E1645" t="str">
            <v>JAX</v>
          </cell>
          <cell r="I1645">
            <v>25</v>
          </cell>
          <cell r="J1645">
            <v>27</v>
          </cell>
          <cell r="L1645">
            <v>0</v>
          </cell>
        </row>
        <row r="1646">
          <cell r="B1646">
            <v>2020</v>
          </cell>
          <cell r="C1646">
            <v>10</v>
          </cell>
          <cell r="E1646" t="str">
            <v>JAX</v>
          </cell>
          <cell r="I1646">
            <v>20</v>
          </cell>
          <cell r="J1646">
            <v>24</v>
          </cell>
          <cell r="L1646">
            <v>0</v>
          </cell>
        </row>
        <row r="1647">
          <cell r="B1647">
            <v>2020</v>
          </cell>
          <cell r="C1647">
            <v>11</v>
          </cell>
          <cell r="E1647" t="str">
            <v>JAX</v>
          </cell>
          <cell r="I1647">
            <v>3</v>
          </cell>
          <cell r="J1647">
            <v>27</v>
          </cell>
          <cell r="L1647">
            <v>0</v>
          </cell>
        </row>
        <row r="1648">
          <cell r="B1648">
            <v>2020</v>
          </cell>
          <cell r="C1648">
            <v>12</v>
          </cell>
          <cell r="E1648" t="str">
            <v>JAX</v>
          </cell>
          <cell r="I1648">
            <v>25</v>
          </cell>
          <cell r="J1648">
            <v>27</v>
          </cell>
          <cell r="L1648">
            <v>0</v>
          </cell>
        </row>
        <row r="1649">
          <cell r="B1649">
            <v>2020</v>
          </cell>
          <cell r="C1649">
            <v>13</v>
          </cell>
          <cell r="E1649" t="str">
            <v>JAX</v>
          </cell>
          <cell r="I1649">
            <v>24</v>
          </cell>
          <cell r="J1649">
            <v>27</v>
          </cell>
          <cell r="L1649">
            <v>0</v>
          </cell>
        </row>
        <row r="1650">
          <cell r="B1650">
            <v>2020</v>
          </cell>
          <cell r="C1650">
            <v>14</v>
          </cell>
          <cell r="E1650" t="str">
            <v>JAX</v>
          </cell>
          <cell r="I1650">
            <v>10</v>
          </cell>
          <cell r="J1650">
            <v>31</v>
          </cell>
          <cell r="L1650">
            <v>0</v>
          </cell>
        </row>
        <row r="1651">
          <cell r="B1651">
            <v>2020</v>
          </cell>
          <cell r="C1651">
            <v>15</v>
          </cell>
          <cell r="E1651" t="str">
            <v>JAX</v>
          </cell>
          <cell r="I1651">
            <v>14</v>
          </cell>
          <cell r="J1651">
            <v>40</v>
          </cell>
          <cell r="L1651">
            <v>0</v>
          </cell>
        </row>
        <row r="1652">
          <cell r="B1652">
            <v>2020</v>
          </cell>
          <cell r="C1652">
            <v>16</v>
          </cell>
          <cell r="E1652" t="str">
            <v>JAX</v>
          </cell>
          <cell r="I1652">
            <v>17</v>
          </cell>
          <cell r="J1652">
            <v>41</v>
          </cell>
          <cell r="L1652">
            <v>0</v>
          </cell>
        </row>
        <row r="1653">
          <cell r="B1653">
            <v>2020</v>
          </cell>
          <cell r="C1653">
            <v>17</v>
          </cell>
          <cell r="E1653" t="str">
            <v>JAX</v>
          </cell>
          <cell r="I1653">
            <v>14</v>
          </cell>
          <cell r="J1653">
            <v>28</v>
          </cell>
          <cell r="L1653">
            <v>0</v>
          </cell>
        </row>
        <row r="1654">
          <cell r="B1654">
            <v>2021</v>
          </cell>
          <cell r="C1654">
            <v>1</v>
          </cell>
          <cell r="E1654" t="str">
            <v>JAX</v>
          </cell>
          <cell r="I1654">
            <v>21</v>
          </cell>
          <cell r="J1654">
            <v>37</v>
          </cell>
          <cell r="L1654">
            <v>0</v>
          </cell>
        </row>
        <row r="1655">
          <cell r="B1655">
            <v>2021</v>
          </cell>
          <cell r="C1655">
            <v>2</v>
          </cell>
          <cell r="E1655" t="str">
            <v>JAX</v>
          </cell>
          <cell r="I1655">
            <v>13</v>
          </cell>
          <cell r="J1655">
            <v>23</v>
          </cell>
          <cell r="L1655">
            <v>0</v>
          </cell>
        </row>
        <row r="1656">
          <cell r="B1656">
            <v>2021</v>
          </cell>
          <cell r="C1656">
            <v>3</v>
          </cell>
          <cell r="E1656" t="str">
            <v>JAX</v>
          </cell>
          <cell r="I1656">
            <v>19</v>
          </cell>
          <cell r="J1656">
            <v>31</v>
          </cell>
          <cell r="L1656">
            <v>0</v>
          </cell>
        </row>
        <row r="1657">
          <cell r="B1657">
            <v>2021</v>
          </cell>
          <cell r="C1657">
            <v>4</v>
          </cell>
          <cell r="E1657" t="str">
            <v>JAX</v>
          </cell>
          <cell r="I1657">
            <v>21</v>
          </cell>
          <cell r="J1657">
            <v>24</v>
          </cell>
          <cell r="L1657">
            <v>0</v>
          </cell>
        </row>
        <row r="1658">
          <cell r="B1658">
            <v>2021</v>
          </cell>
          <cell r="C1658">
            <v>5</v>
          </cell>
          <cell r="E1658" t="str">
            <v>JAX</v>
          </cell>
          <cell r="I1658">
            <v>19</v>
          </cell>
          <cell r="J1658">
            <v>37</v>
          </cell>
          <cell r="L1658">
            <v>0</v>
          </cell>
        </row>
        <row r="1659">
          <cell r="B1659">
            <v>2021</v>
          </cell>
          <cell r="C1659">
            <v>6</v>
          </cell>
          <cell r="E1659" t="str">
            <v>JAX</v>
          </cell>
          <cell r="I1659">
            <v>23</v>
          </cell>
          <cell r="J1659">
            <v>20</v>
          </cell>
          <cell r="L1659">
            <v>0</v>
          </cell>
        </row>
        <row r="1660">
          <cell r="B1660">
            <v>2021</v>
          </cell>
          <cell r="C1660">
            <v>8</v>
          </cell>
          <cell r="E1660" t="str">
            <v>JAX</v>
          </cell>
          <cell r="I1660">
            <v>7</v>
          </cell>
          <cell r="J1660">
            <v>31</v>
          </cell>
          <cell r="L1660">
            <v>0</v>
          </cell>
        </row>
        <row r="1661">
          <cell r="B1661">
            <v>2021</v>
          </cell>
          <cell r="C1661">
            <v>9</v>
          </cell>
          <cell r="E1661" t="str">
            <v>JAX</v>
          </cell>
          <cell r="I1661">
            <v>9</v>
          </cell>
          <cell r="J1661">
            <v>6</v>
          </cell>
          <cell r="L1661">
            <v>0</v>
          </cell>
        </row>
        <row r="1662">
          <cell r="B1662">
            <v>2021</v>
          </cell>
          <cell r="C1662">
            <v>10</v>
          </cell>
          <cell r="E1662" t="str">
            <v>JAX</v>
          </cell>
          <cell r="I1662">
            <v>17</v>
          </cell>
          <cell r="J1662">
            <v>23</v>
          </cell>
          <cell r="L1662">
            <v>0</v>
          </cell>
        </row>
        <row r="1663">
          <cell r="B1663">
            <v>2021</v>
          </cell>
          <cell r="C1663">
            <v>11</v>
          </cell>
          <cell r="E1663" t="str">
            <v>JAX</v>
          </cell>
          <cell r="I1663">
            <v>10</v>
          </cell>
          <cell r="J1663">
            <v>30</v>
          </cell>
          <cell r="L1663">
            <v>0</v>
          </cell>
        </row>
        <row r="1664">
          <cell r="B1664">
            <v>2021</v>
          </cell>
          <cell r="C1664">
            <v>12</v>
          </cell>
          <cell r="E1664" t="str">
            <v>JAX</v>
          </cell>
          <cell r="I1664">
            <v>14</v>
          </cell>
          <cell r="J1664">
            <v>21</v>
          </cell>
          <cell r="L1664">
            <v>0</v>
          </cell>
        </row>
        <row r="1665">
          <cell r="B1665">
            <v>2021</v>
          </cell>
          <cell r="C1665">
            <v>13</v>
          </cell>
          <cell r="E1665" t="str">
            <v>JAX</v>
          </cell>
          <cell r="I1665">
            <v>7</v>
          </cell>
          <cell r="J1665">
            <v>37</v>
          </cell>
          <cell r="L1665">
            <v>0</v>
          </cell>
        </row>
        <row r="1666">
          <cell r="B1666">
            <v>2021</v>
          </cell>
          <cell r="C1666">
            <v>14</v>
          </cell>
          <cell r="E1666" t="str">
            <v>JAX</v>
          </cell>
          <cell r="I1666">
            <v>0</v>
          </cell>
          <cell r="J1666">
            <v>20</v>
          </cell>
          <cell r="L1666">
            <v>0</v>
          </cell>
        </row>
        <row r="1667">
          <cell r="B1667">
            <v>2021</v>
          </cell>
          <cell r="C1667">
            <v>15</v>
          </cell>
          <cell r="E1667" t="str">
            <v>JAX</v>
          </cell>
          <cell r="I1667">
            <v>16</v>
          </cell>
          <cell r="J1667">
            <v>30</v>
          </cell>
          <cell r="L1667">
            <v>0</v>
          </cell>
        </row>
        <row r="1668">
          <cell r="B1668">
            <v>2021</v>
          </cell>
          <cell r="C1668">
            <v>16</v>
          </cell>
          <cell r="E1668" t="str">
            <v>JAX</v>
          </cell>
          <cell r="I1668">
            <v>21</v>
          </cell>
          <cell r="J1668">
            <v>26</v>
          </cell>
          <cell r="L1668">
            <v>0</v>
          </cell>
        </row>
        <row r="1669">
          <cell r="B1669">
            <v>2021</v>
          </cell>
          <cell r="C1669">
            <v>17</v>
          </cell>
          <cell r="E1669" t="str">
            <v>JAX</v>
          </cell>
          <cell r="I1669">
            <v>10</v>
          </cell>
          <cell r="J1669">
            <v>50</v>
          </cell>
          <cell r="L1669">
            <v>0</v>
          </cell>
        </row>
        <row r="1670">
          <cell r="B1670">
            <v>2021</v>
          </cell>
          <cell r="C1670">
            <v>18</v>
          </cell>
          <cell r="E1670" t="str">
            <v>JAX</v>
          </cell>
          <cell r="I1670">
            <v>26</v>
          </cell>
          <cell r="J1670">
            <v>11</v>
          </cell>
          <cell r="L1670">
            <v>0</v>
          </cell>
        </row>
        <row r="1671">
          <cell r="B1671">
            <v>2022</v>
          </cell>
          <cell r="C1671">
            <v>1</v>
          </cell>
          <cell r="E1671" t="str">
            <v>JAX</v>
          </cell>
          <cell r="I1671">
            <v>22</v>
          </cell>
          <cell r="J1671">
            <v>28</v>
          </cell>
          <cell r="L1671">
            <v>0</v>
          </cell>
        </row>
        <row r="1672">
          <cell r="B1672">
            <v>2022</v>
          </cell>
          <cell r="C1672">
            <v>2</v>
          </cell>
          <cell r="E1672" t="str">
            <v>JAX</v>
          </cell>
          <cell r="I1672">
            <v>24</v>
          </cell>
          <cell r="J1672">
            <v>0</v>
          </cell>
          <cell r="L1672">
            <v>0</v>
          </cell>
        </row>
        <row r="1673">
          <cell r="B1673">
            <v>2022</v>
          </cell>
          <cell r="C1673">
            <v>3</v>
          </cell>
          <cell r="E1673" t="str">
            <v>JAX</v>
          </cell>
          <cell r="I1673">
            <v>38</v>
          </cell>
          <cell r="J1673">
            <v>10</v>
          </cell>
          <cell r="L1673">
            <v>0</v>
          </cell>
        </row>
        <row r="1674">
          <cell r="B1674">
            <v>2022</v>
          </cell>
          <cell r="C1674">
            <v>4</v>
          </cell>
          <cell r="E1674" t="str">
            <v>JAX</v>
          </cell>
          <cell r="I1674">
            <v>21</v>
          </cell>
          <cell r="J1674">
            <v>29</v>
          </cell>
          <cell r="L1674">
            <v>0</v>
          </cell>
        </row>
        <row r="1675">
          <cell r="B1675">
            <v>2022</v>
          </cell>
          <cell r="C1675">
            <v>5</v>
          </cell>
          <cell r="E1675" t="str">
            <v>JAX</v>
          </cell>
          <cell r="I1675">
            <v>6</v>
          </cell>
          <cell r="J1675">
            <v>13</v>
          </cell>
          <cell r="L1675">
            <v>0</v>
          </cell>
        </row>
        <row r="1676">
          <cell r="B1676">
            <v>2022</v>
          </cell>
          <cell r="C1676">
            <v>6</v>
          </cell>
          <cell r="E1676" t="str">
            <v>JAX</v>
          </cell>
          <cell r="I1676">
            <v>27</v>
          </cell>
          <cell r="J1676">
            <v>34</v>
          </cell>
          <cell r="L1676">
            <v>0</v>
          </cell>
        </row>
        <row r="1677">
          <cell r="B1677">
            <v>2022</v>
          </cell>
          <cell r="C1677">
            <v>7</v>
          </cell>
          <cell r="E1677" t="str">
            <v>JAX</v>
          </cell>
          <cell r="I1677">
            <v>17</v>
          </cell>
          <cell r="J1677">
            <v>23</v>
          </cell>
          <cell r="L1677">
            <v>0</v>
          </cell>
        </row>
        <row r="1678">
          <cell r="B1678">
            <v>2022</v>
          </cell>
          <cell r="C1678">
            <v>8</v>
          </cell>
          <cell r="E1678" t="str">
            <v>JAX</v>
          </cell>
          <cell r="I1678">
            <v>17</v>
          </cell>
          <cell r="J1678">
            <v>21</v>
          </cell>
          <cell r="L1678">
            <v>0</v>
          </cell>
        </row>
        <row r="1679">
          <cell r="B1679">
            <v>2022</v>
          </cell>
          <cell r="C1679">
            <v>9</v>
          </cell>
          <cell r="E1679" t="str">
            <v>JAX</v>
          </cell>
          <cell r="I1679">
            <v>27</v>
          </cell>
          <cell r="J1679">
            <v>20</v>
          </cell>
          <cell r="L1679">
            <v>0</v>
          </cell>
        </row>
        <row r="1680">
          <cell r="B1680">
            <v>2022</v>
          </cell>
          <cell r="C1680">
            <v>10</v>
          </cell>
          <cell r="E1680" t="str">
            <v>JAX</v>
          </cell>
          <cell r="I1680">
            <v>17</v>
          </cell>
          <cell r="J1680">
            <v>27</v>
          </cell>
          <cell r="L1680">
            <v>0</v>
          </cell>
        </row>
        <row r="1681">
          <cell r="B1681">
            <v>2022</v>
          </cell>
          <cell r="C1681">
            <v>12</v>
          </cell>
          <cell r="E1681" t="str">
            <v>JAX</v>
          </cell>
          <cell r="I1681">
            <v>28</v>
          </cell>
          <cell r="J1681">
            <v>27</v>
          </cell>
          <cell r="L1681">
            <v>0</v>
          </cell>
        </row>
        <row r="1682">
          <cell r="B1682">
            <v>2022</v>
          </cell>
          <cell r="C1682">
            <v>13</v>
          </cell>
          <cell r="E1682" t="str">
            <v>JAX</v>
          </cell>
          <cell r="I1682">
            <v>14</v>
          </cell>
          <cell r="J1682">
            <v>40</v>
          </cell>
          <cell r="L1682">
            <v>0</v>
          </cell>
        </row>
        <row r="1683">
          <cell r="B1683">
            <v>2022</v>
          </cell>
          <cell r="C1683">
            <v>14</v>
          </cell>
          <cell r="E1683" t="str">
            <v>JAX</v>
          </cell>
          <cell r="I1683">
            <v>36</v>
          </cell>
          <cell r="J1683">
            <v>22</v>
          </cell>
          <cell r="L1683">
            <v>0</v>
          </cell>
        </row>
        <row r="1684">
          <cell r="B1684">
            <v>2022</v>
          </cell>
          <cell r="C1684">
            <v>15</v>
          </cell>
          <cell r="E1684" t="str">
            <v>JAX</v>
          </cell>
          <cell r="I1684">
            <v>40</v>
          </cell>
          <cell r="J1684">
            <v>34</v>
          </cell>
          <cell r="L1684">
            <v>0</v>
          </cell>
        </row>
        <row r="1685">
          <cell r="B1685">
            <v>2022</v>
          </cell>
          <cell r="C1685">
            <v>16</v>
          </cell>
          <cell r="E1685" t="str">
            <v>JAX</v>
          </cell>
          <cell r="I1685">
            <v>19</v>
          </cell>
          <cell r="J1685">
            <v>3</v>
          </cell>
          <cell r="L1685">
            <v>0</v>
          </cell>
        </row>
        <row r="1686">
          <cell r="B1686">
            <v>2022</v>
          </cell>
          <cell r="C1686">
            <v>17</v>
          </cell>
          <cell r="E1686" t="str">
            <v>JAX</v>
          </cell>
          <cell r="I1686">
            <v>31</v>
          </cell>
          <cell r="J1686">
            <v>3</v>
          </cell>
          <cell r="L1686">
            <v>0</v>
          </cell>
        </row>
        <row r="1687">
          <cell r="B1687">
            <v>2022</v>
          </cell>
          <cell r="C1687">
            <v>18</v>
          </cell>
          <cell r="E1687" t="str">
            <v>JAX</v>
          </cell>
          <cell r="I1687">
            <v>20</v>
          </cell>
          <cell r="J1687">
            <v>16</v>
          </cell>
          <cell r="L1687">
            <v>0</v>
          </cell>
        </row>
        <row r="1688">
          <cell r="B1688">
            <v>2022</v>
          </cell>
          <cell r="C1688">
            <v>1</v>
          </cell>
          <cell r="E1688" t="str">
            <v>JAX</v>
          </cell>
          <cell r="I1688">
            <v>31</v>
          </cell>
          <cell r="J1688">
            <v>30</v>
          </cell>
          <cell r="L1688">
            <v>1</v>
          </cell>
        </row>
        <row r="1689">
          <cell r="B1689">
            <v>2022</v>
          </cell>
          <cell r="C1689">
            <v>2</v>
          </cell>
          <cell r="E1689" t="str">
            <v>JAX</v>
          </cell>
          <cell r="I1689">
            <v>20</v>
          </cell>
          <cell r="J1689">
            <v>27</v>
          </cell>
          <cell r="L1689">
            <v>1</v>
          </cell>
        </row>
        <row r="1690">
          <cell r="B1690">
            <v>2023</v>
          </cell>
          <cell r="C1690">
            <v>1</v>
          </cell>
          <cell r="E1690" t="str">
            <v>JAX</v>
          </cell>
          <cell r="I1690">
            <v>31</v>
          </cell>
          <cell r="J1690">
            <v>21</v>
          </cell>
          <cell r="L1690">
            <v>0</v>
          </cell>
        </row>
        <row r="1691">
          <cell r="B1691">
            <v>2023</v>
          </cell>
          <cell r="C1691">
            <v>2</v>
          </cell>
          <cell r="E1691" t="str">
            <v>JAX</v>
          </cell>
          <cell r="I1691">
            <v>9</v>
          </cell>
          <cell r="J1691">
            <v>17</v>
          </cell>
          <cell r="L1691">
            <v>0</v>
          </cell>
        </row>
        <row r="1692">
          <cell r="B1692">
            <v>2023</v>
          </cell>
          <cell r="C1692">
            <v>3</v>
          </cell>
          <cell r="E1692" t="str">
            <v>JAX</v>
          </cell>
          <cell r="I1692">
            <v>17</v>
          </cell>
          <cell r="J1692">
            <v>37</v>
          </cell>
          <cell r="L1692">
            <v>0</v>
          </cell>
        </row>
        <row r="1693">
          <cell r="B1693">
            <v>2023</v>
          </cell>
          <cell r="C1693">
            <v>4</v>
          </cell>
          <cell r="E1693" t="str">
            <v>JAX</v>
          </cell>
          <cell r="I1693">
            <v>23</v>
          </cell>
          <cell r="J1693">
            <v>7</v>
          </cell>
          <cell r="L1693">
            <v>0</v>
          </cell>
        </row>
        <row r="1694">
          <cell r="B1694">
            <v>2023</v>
          </cell>
          <cell r="C1694">
            <v>5</v>
          </cell>
          <cell r="E1694" t="str">
            <v>JAX</v>
          </cell>
          <cell r="I1694">
            <v>25</v>
          </cell>
          <cell r="J1694">
            <v>20</v>
          </cell>
          <cell r="L1694">
            <v>0</v>
          </cell>
        </row>
        <row r="1695">
          <cell r="B1695">
            <v>2023</v>
          </cell>
          <cell r="C1695">
            <v>6</v>
          </cell>
          <cell r="E1695" t="str">
            <v>JAX</v>
          </cell>
          <cell r="I1695">
            <v>37</v>
          </cell>
          <cell r="J1695">
            <v>20</v>
          </cell>
          <cell r="L1695">
            <v>0</v>
          </cell>
        </row>
        <row r="1696">
          <cell r="B1696">
            <v>2023</v>
          </cell>
          <cell r="C1696">
            <v>7</v>
          </cell>
          <cell r="E1696" t="str">
            <v>JAX</v>
          </cell>
          <cell r="I1696">
            <v>31</v>
          </cell>
          <cell r="J1696">
            <v>24</v>
          </cell>
          <cell r="L1696">
            <v>0</v>
          </cell>
        </row>
        <row r="1697">
          <cell r="B1697">
            <v>2023</v>
          </cell>
          <cell r="C1697">
            <v>8</v>
          </cell>
          <cell r="E1697" t="str">
            <v>JAX</v>
          </cell>
          <cell r="I1697">
            <v>20</v>
          </cell>
          <cell r="J1697">
            <v>10</v>
          </cell>
          <cell r="L1697">
            <v>0</v>
          </cell>
        </row>
        <row r="1698">
          <cell r="B1698">
            <v>2023</v>
          </cell>
          <cell r="C1698">
            <v>10</v>
          </cell>
          <cell r="E1698" t="str">
            <v>JAX</v>
          </cell>
          <cell r="I1698">
            <v>3</v>
          </cell>
          <cell r="J1698">
            <v>34</v>
          </cell>
          <cell r="L1698">
            <v>0</v>
          </cell>
        </row>
        <row r="1699">
          <cell r="B1699">
            <v>2023</v>
          </cell>
          <cell r="C1699">
            <v>11</v>
          </cell>
          <cell r="E1699" t="str">
            <v>JAX</v>
          </cell>
          <cell r="I1699">
            <v>34</v>
          </cell>
          <cell r="J1699">
            <v>14</v>
          </cell>
          <cell r="L1699">
            <v>0</v>
          </cell>
        </row>
        <row r="1700">
          <cell r="B1700">
            <v>2023</v>
          </cell>
          <cell r="C1700">
            <v>12</v>
          </cell>
          <cell r="E1700" t="str">
            <v>JAX</v>
          </cell>
          <cell r="I1700">
            <v>24</v>
          </cell>
          <cell r="J1700">
            <v>21</v>
          </cell>
          <cell r="L1700">
            <v>0</v>
          </cell>
        </row>
        <row r="1701">
          <cell r="B1701">
            <v>2023</v>
          </cell>
          <cell r="C1701">
            <v>13</v>
          </cell>
          <cell r="E1701" t="str">
            <v>JAX</v>
          </cell>
          <cell r="I1701">
            <v>31</v>
          </cell>
          <cell r="J1701">
            <v>34</v>
          </cell>
          <cell r="L1701">
            <v>0</v>
          </cell>
        </row>
        <row r="1702">
          <cell r="B1702">
            <v>2023</v>
          </cell>
          <cell r="C1702">
            <v>14</v>
          </cell>
          <cell r="E1702" t="str">
            <v>JAX</v>
          </cell>
          <cell r="I1702">
            <v>27</v>
          </cell>
          <cell r="J1702">
            <v>31</v>
          </cell>
          <cell r="L1702">
            <v>0</v>
          </cell>
        </row>
        <row r="1703">
          <cell r="B1703">
            <v>2023</v>
          </cell>
          <cell r="C1703">
            <v>15</v>
          </cell>
          <cell r="E1703" t="str">
            <v>JAX</v>
          </cell>
          <cell r="I1703">
            <v>7</v>
          </cell>
          <cell r="J1703">
            <v>23</v>
          </cell>
          <cell r="L1703">
            <v>0</v>
          </cell>
        </row>
        <row r="1704">
          <cell r="B1704">
            <v>2023</v>
          </cell>
          <cell r="C1704">
            <v>16</v>
          </cell>
          <cell r="E1704" t="str">
            <v>JAX</v>
          </cell>
          <cell r="I1704">
            <v>12</v>
          </cell>
          <cell r="J1704">
            <v>30</v>
          </cell>
          <cell r="L1704">
            <v>0</v>
          </cell>
        </row>
        <row r="1705">
          <cell r="B1705">
            <v>2023</v>
          </cell>
          <cell r="C1705">
            <v>17</v>
          </cell>
          <cell r="E1705" t="str">
            <v>JAX</v>
          </cell>
          <cell r="I1705">
            <v>26</v>
          </cell>
          <cell r="J1705">
            <v>0</v>
          </cell>
          <cell r="L1705">
            <v>0</v>
          </cell>
        </row>
        <row r="1706">
          <cell r="B1706">
            <v>2023</v>
          </cell>
          <cell r="C1706">
            <v>18</v>
          </cell>
          <cell r="E1706" t="str">
            <v>JAX</v>
          </cell>
          <cell r="I1706">
            <v>20</v>
          </cell>
          <cell r="J1706">
            <v>28</v>
          </cell>
          <cell r="L1706">
            <v>0</v>
          </cell>
        </row>
        <row r="1707">
          <cell r="B1707">
            <v>2024</v>
          </cell>
          <cell r="C1707">
            <v>1</v>
          </cell>
          <cell r="E1707" t="str">
            <v>JAX</v>
          </cell>
          <cell r="I1707">
            <v>17</v>
          </cell>
          <cell r="J1707">
            <v>20</v>
          </cell>
          <cell r="L1707">
            <v>0</v>
          </cell>
        </row>
        <row r="1708">
          <cell r="B1708">
            <v>2024</v>
          </cell>
          <cell r="C1708">
            <v>2</v>
          </cell>
          <cell r="E1708" t="str">
            <v>JAX</v>
          </cell>
          <cell r="I1708">
            <v>13</v>
          </cell>
          <cell r="J1708">
            <v>18</v>
          </cell>
          <cell r="L1708">
            <v>0</v>
          </cell>
        </row>
        <row r="1709">
          <cell r="B1709">
            <v>2024</v>
          </cell>
          <cell r="C1709">
            <v>3</v>
          </cell>
          <cell r="E1709" t="str">
            <v>JAX</v>
          </cell>
          <cell r="I1709">
            <v>10</v>
          </cell>
          <cell r="J1709">
            <v>47</v>
          </cell>
          <cell r="L1709">
            <v>0</v>
          </cell>
        </row>
        <row r="1710">
          <cell r="B1710">
            <v>2024</v>
          </cell>
          <cell r="C1710">
            <v>4</v>
          </cell>
          <cell r="E1710" t="str">
            <v>JAX</v>
          </cell>
          <cell r="I1710">
            <v>20</v>
          </cell>
          <cell r="J1710">
            <v>24</v>
          </cell>
          <cell r="L1710">
            <v>0</v>
          </cell>
        </row>
        <row r="1711">
          <cell r="B1711">
            <v>2024</v>
          </cell>
          <cell r="C1711">
            <v>5</v>
          </cell>
          <cell r="E1711" t="str">
            <v>JAX</v>
          </cell>
          <cell r="I1711">
            <v>37</v>
          </cell>
          <cell r="J1711">
            <v>34</v>
          </cell>
          <cell r="L1711">
            <v>0</v>
          </cell>
        </row>
        <row r="1712">
          <cell r="B1712">
            <v>2024</v>
          </cell>
          <cell r="C1712">
            <v>6</v>
          </cell>
          <cell r="E1712" t="str">
            <v>JAX</v>
          </cell>
          <cell r="I1712">
            <v>16</v>
          </cell>
          <cell r="J1712">
            <v>35</v>
          </cell>
          <cell r="L1712">
            <v>0</v>
          </cell>
        </row>
        <row r="1713">
          <cell r="B1713">
            <v>2024</v>
          </cell>
          <cell r="C1713">
            <v>7</v>
          </cell>
          <cell r="E1713" t="str">
            <v>JAX</v>
          </cell>
          <cell r="I1713">
            <v>32</v>
          </cell>
          <cell r="J1713">
            <v>16</v>
          </cell>
          <cell r="L1713">
            <v>0</v>
          </cell>
        </row>
        <row r="1714">
          <cell r="B1714">
            <v>2024</v>
          </cell>
          <cell r="C1714">
            <v>8</v>
          </cell>
          <cell r="E1714" t="str">
            <v>JAX</v>
          </cell>
          <cell r="I1714">
            <v>27</v>
          </cell>
          <cell r="J1714">
            <v>30</v>
          </cell>
          <cell r="L1714">
            <v>0</v>
          </cell>
        </row>
        <row r="1715">
          <cell r="B1715">
            <v>2024</v>
          </cell>
          <cell r="C1715">
            <v>9</v>
          </cell>
          <cell r="E1715" t="str">
            <v>JAX</v>
          </cell>
          <cell r="I1715">
            <v>23</v>
          </cell>
          <cell r="J1715">
            <v>28</v>
          </cell>
          <cell r="L1715">
            <v>0</v>
          </cell>
        </row>
        <row r="1716">
          <cell r="B1716">
            <v>2024</v>
          </cell>
          <cell r="C1716">
            <v>10</v>
          </cell>
          <cell r="E1716" t="str">
            <v>JAX</v>
          </cell>
          <cell r="I1716">
            <v>7</v>
          </cell>
          <cell r="J1716">
            <v>12</v>
          </cell>
          <cell r="L1716">
            <v>0</v>
          </cell>
        </row>
        <row r="1717">
          <cell r="B1717">
            <v>2024</v>
          </cell>
          <cell r="C1717">
            <v>11</v>
          </cell>
          <cell r="E1717" t="str">
            <v>JAX</v>
          </cell>
          <cell r="I1717">
            <v>6</v>
          </cell>
          <cell r="J1717">
            <v>52</v>
          </cell>
          <cell r="L1717">
            <v>0</v>
          </cell>
        </row>
        <row r="1718">
          <cell r="B1718">
            <v>2024</v>
          </cell>
          <cell r="C1718">
            <v>13</v>
          </cell>
          <cell r="E1718" t="str">
            <v>JAX</v>
          </cell>
          <cell r="I1718">
            <v>20</v>
          </cell>
          <cell r="J1718">
            <v>23</v>
          </cell>
          <cell r="L1718">
            <v>0</v>
          </cell>
        </row>
        <row r="1719">
          <cell r="B1719">
            <v>2024</v>
          </cell>
          <cell r="C1719">
            <v>14</v>
          </cell>
          <cell r="E1719" t="str">
            <v>JAX</v>
          </cell>
          <cell r="I1719">
            <v>10</v>
          </cell>
          <cell r="J1719">
            <v>6</v>
          </cell>
          <cell r="L1719">
            <v>0</v>
          </cell>
        </row>
        <row r="1720">
          <cell r="B1720">
            <v>2024</v>
          </cell>
          <cell r="C1720">
            <v>15</v>
          </cell>
          <cell r="E1720" t="str">
            <v>JAX</v>
          </cell>
          <cell r="I1720">
            <v>25</v>
          </cell>
          <cell r="J1720">
            <v>32</v>
          </cell>
          <cell r="L1720">
            <v>0</v>
          </cell>
        </row>
        <row r="1721">
          <cell r="B1721">
            <v>2024</v>
          </cell>
          <cell r="C1721">
            <v>16</v>
          </cell>
          <cell r="E1721" t="str">
            <v>JAX</v>
          </cell>
          <cell r="I1721">
            <v>14</v>
          </cell>
          <cell r="J1721">
            <v>19</v>
          </cell>
          <cell r="L1721">
            <v>0</v>
          </cell>
        </row>
        <row r="1722">
          <cell r="B1722">
            <v>2024</v>
          </cell>
          <cell r="C1722">
            <v>17</v>
          </cell>
          <cell r="E1722" t="str">
            <v>JAX</v>
          </cell>
          <cell r="I1722">
            <v>20</v>
          </cell>
          <cell r="J1722">
            <v>13</v>
          </cell>
          <cell r="L1722">
            <v>0</v>
          </cell>
        </row>
        <row r="1723">
          <cell r="B1723">
            <v>2024</v>
          </cell>
          <cell r="C1723">
            <v>18</v>
          </cell>
          <cell r="E1723" t="str">
            <v>JAX</v>
          </cell>
          <cell r="I1723">
            <v>23</v>
          </cell>
          <cell r="J1723">
            <v>26</v>
          </cell>
          <cell r="L1723">
            <v>0</v>
          </cell>
        </row>
        <row r="1724">
          <cell r="B1724">
            <v>2025</v>
          </cell>
          <cell r="C1724">
            <v>1</v>
          </cell>
          <cell r="E1724" t="str">
            <v>JAX</v>
          </cell>
          <cell r="I1724">
            <v>26</v>
          </cell>
          <cell r="J1724">
            <v>10</v>
          </cell>
          <cell r="L1724">
            <v>0</v>
          </cell>
        </row>
        <row r="1725">
          <cell r="B1725">
            <v>2025</v>
          </cell>
          <cell r="C1725">
            <v>2</v>
          </cell>
          <cell r="E1725" t="str">
            <v>JAX</v>
          </cell>
          <cell r="I1725">
            <v>27</v>
          </cell>
          <cell r="J1725">
            <v>31</v>
          </cell>
          <cell r="L1725">
            <v>0</v>
          </cell>
        </row>
        <row r="1726">
          <cell r="B1726">
            <v>2025</v>
          </cell>
          <cell r="C1726">
            <v>3</v>
          </cell>
          <cell r="E1726" t="str">
            <v>JAX</v>
          </cell>
          <cell r="I1726">
            <v>17</v>
          </cell>
          <cell r="J1726">
            <v>10</v>
          </cell>
          <cell r="L1726">
            <v>0</v>
          </cell>
        </row>
        <row r="1727">
          <cell r="B1727">
            <v>2025</v>
          </cell>
          <cell r="C1727">
            <v>4</v>
          </cell>
          <cell r="E1727" t="str">
            <v>JAX</v>
          </cell>
          <cell r="I1727">
            <v>26</v>
          </cell>
          <cell r="J1727">
            <v>21</v>
          </cell>
          <cell r="L1727">
            <v>0</v>
          </cell>
        </row>
        <row r="1728">
          <cell r="B1728">
            <v>2025</v>
          </cell>
          <cell r="C1728">
            <v>5</v>
          </cell>
          <cell r="E1728" t="str">
            <v>JAX</v>
          </cell>
          <cell r="I1728">
            <v>31</v>
          </cell>
          <cell r="J1728">
            <v>28</v>
          </cell>
          <cell r="L1728">
            <v>0</v>
          </cell>
        </row>
        <row r="1729">
          <cell r="B1729">
            <v>2025</v>
          </cell>
          <cell r="C1729">
            <v>6</v>
          </cell>
          <cell r="E1729" t="str">
            <v>JAX</v>
          </cell>
          <cell r="I1729">
            <v>12</v>
          </cell>
          <cell r="J1729">
            <v>20</v>
          </cell>
          <cell r="L1729">
            <v>0</v>
          </cell>
        </row>
        <row r="1730">
          <cell r="B1730">
            <v>2025</v>
          </cell>
          <cell r="C1730">
            <v>7</v>
          </cell>
          <cell r="E1730" t="str">
            <v>JAX</v>
          </cell>
          <cell r="I1730">
            <v>7</v>
          </cell>
          <cell r="J1730">
            <v>35</v>
          </cell>
          <cell r="L1730">
            <v>0</v>
          </cell>
        </row>
        <row r="1731">
          <cell r="B1731">
            <v>2025</v>
          </cell>
          <cell r="C1731">
            <v>9</v>
          </cell>
          <cell r="E1731" t="str">
            <v>JAX</v>
          </cell>
          <cell r="I1731">
            <v>30</v>
          </cell>
          <cell r="J1731">
            <v>29</v>
          </cell>
          <cell r="L1731">
            <v>0</v>
          </cell>
        </row>
        <row r="1732">
          <cell r="B1732">
            <v>2025</v>
          </cell>
          <cell r="C1732">
            <v>10</v>
          </cell>
          <cell r="E1732" t="str">
            <v>JAX</v>
          </cell>
          <cell r="I1732">
            <v>29</v>
          </cell>
          <cell r="J1732">
            <v>36</v>
          </cell>
          <cell r="L1732">
            <v>0</v>
          </cell>
        </row>
        <row r="1733">
          <cell r="B1733">
            <v>2025</v>
          </cell>
          <cell r="C1733">
            <v>11</v>
          </cell>
          <cell r="E1733" t="str">
            <v>JAX</v>
          </cell>
          <cell r="I1733">
            <v>35</v>
          </cell>
          <cell r="J1733">
            <v>6</v>
          </cell>
          <cell r="L1733">
            <v>0</v>
          </cell>
        </row>
        <row r="1734">
          <cell r="B1734">
            <v>2025</v>
          </cell>
          <cell r="C1734">
            <v>12</v>
          </cell>
          <cell r="E1734" t="str">
            <v>JAX</v>
          </cell>
          <cell r="I1734">
            <v>27</v>
          </cell>
          <cell r="J1734">
            <v>24</v>
          </cell>
          <cell r="L1734">
            <v>0</v>
          </cell>
        </row>
        <row r="1735">
          <cell r="B1735">
            <v>2025</v>
          </cell>
          <cell r="C1735">
            <v>13</v>
          </cell>
          <cell r="E1735" t="str">
            <v>JAX</v>
          </cell>
          <cell r="I1735">
            <v>25</v>
          </cell>
          <cell r="J1735">
            <v>3</v>
          </cell>
          <cell r="L1735">
            <v>0</v>
          </cell>
        </row>
        <row r="1736">
          <cell r="B1736">
            <v>2025</v>
          </cell>
          <cell r="C1736">
            <v>14</v>
          </cell>
          <cell r="E1736" t="str">
            <v>JAX</v>
          </cell>
          <cell r="I1736">
            <v>36</v>
          </cell>
          <cell r="J1736">
            <v>19</v>
          </cell>
          <cell r="L1736">
            <v>0</v>
          </cell>
        </row>
        <row r="1737">
          <cell r="B1737">
            <v>2025</v>
          </cell>
          <cell r="C1737">
            <v>15</v>
          </cell>
          <cell r="E1737" t="str">
            <v>JAX</v>
          </cell>
          <cell r="I1737">
            <v>48</v>
          </cell>
          <cell r="J1737">
            <v>20</v>
          </cell>
          <cell r="L1737">
            <v>0</v>
          </cell>
        </row>
        <row r="1738">
          <cell r="B1738">
            <v>2025</v>
          </cell>
          <cell r="C1738">
            <v>16</v>
          </cell>
          <cell r="E1738" t="str">
            <v>JAX</v>
          </cell>
          <cell r="I1738">
            <v>34</v>
          </cell>
          <cell r="J1738">
            <v>20</v>
          </cell>
          <cell r="L1738">
            <v>0</v>
          </cell>
        </row>
        <row r="1739">
          <cell r="B1739">
            <v>2025</v>
          </cell>
          <cell r="C1739">
            <v>17</v>
          </cell>
          <cell r="E1739" t="str">
            <v>JAX</v>
          </cell>
          <cell r="I1739">
            <v>23</v>
          </cell>
          <cell r="J1739">
            <v>17</v>
          </cell>
          <cell r="L1739">
            <v>0</v>
          </cell>
        </row>
        <row r="1740">
          <cell r="B1740">
            <v>2025</v>
          </cell>
          <cell r="C1740">
            <v>18</v>
          </cell>
          <cell r="E1740" t="str">
            <v>JAX</v>
          </cell>
          <cell r="I1740">
            <v>41</v>
          </cell>
          <cell r="J1740">
            <v>7</v>
          </cell>
          <cell r="L1740">
            <v>0</v>
          </cell>
        </row>
        <row r="1741">
          <cell r="B1741">
            <v>2025</v>
          </cell>
          <cell r="C1741">
            <v>1</v>
          </cell>
          <cell r="E1741" t="str">
            <v>JAX</v>
          </cell>
          <cell r="I1741">
            <v>24</v>
          </cell>
          <cell r="J1741">
            <v>27</v>
          </cell>
          <cell r="L1741">
            <v>1</v>
          </cell>
        </row>
        <row r="1742">
          <cell r="B1742">
            <v>2026</v>
          </cell>
          <cell r="C1742">
            <v>1</v>
          </cell>
          <cell r="E1742" t="str">
            <v>JAX</v>
          </cell>
          <cell r="I1742">
            <v>34</v>
          </cell>
          <cell r="J1742">
            <v>10</v>
          </cell>
          <cell r="L1742">
            <v>0</v>
          </cell>
        </row>
        <row r="1743">
          <cell r="B1743">
            <v>2026</v>
          </cell>
          <cell r="C1743">
            <v>2</v>
          </cell>
          <cell r="E1743" t="str">
            <v>JAX</v>
          </cell>
          <cell r="I1743">
            <v>13</v>
          </cell>
          <cell r="J1743">
            <v>20</v>
          </cell>
          <cell r="L1743">
            <v>0</v>
          </cell>
        </row>
        <row r="1744">
          <cell r="B1744">
            <v>2026</v>
          </cell>
          <cell r="C1744">
            <v>3</v>
          </cell>
          <cell r="E1744" t="str">
            <v>JAX</v>
          </cell>
          <cell r="I1744">
            <v>35</v>
          </cell>
          <cell r="J1744">
            <v>6</v>
          </cell>
          <cell r="L1744">
            <v>0</v>
          </cell>
        </row>
        <row r="1745">
          <cell r="B1745">
            <v>2026</v>
          </cell>
          <cell r="C1745">
            <v>4</v>
          </cell>
          <cell r="E1745" t="str">
            <v>JAX</v>
          </cell>
          <cell r="I1745">
            <v>22</v>
          </cell>
          <cell r="J1745">
            <v>17</v>
          </cell>
          <cell r="L1745">
            <v>0</v>
          </cell>
        </row>
        <row r="1746">
          <cell r="B1746">
            <v>2026</v>
          </cell>
          <cell r="C1746">
            <v>5</v>
          </cell>
          <cell r="E1746" t="str">
            <v>JAX</v>
          </cell>
          <cell r="I1746">
            <v>19</v>
          </cell>
          <cell r="J1746">
            <v>17</v>
          </cell>
          <cell r="L1746">
            <v>0</v>
          </cell>
        </row>
        <row r="1747">
          <cell r="B1747">
            <v>2026</v>
          </cell>
          <cell r="C1747">
            <v>6</v>
          </cell>
          <cell r="E1747" t="str">
            <v>JAX</v>
          </cell>
          <cell r="I1747">
            <v>31</v>
          </cell>
          <cell r="J1747">
            <v>34</v>
          </cell>
          <cell r="L1747">
            <v>0</v>
          </cell>
        </row>
        <row r="1748">
          <cell r="B1748">
            <v>2018</v>
          </cell>
          <cell r="C1748">
            <v>1</v>
          </cell>
          <cell r="E1748" t="str">
            <v>KC</v>
          </cell>
          <cell r="I1748">
            <v>38</v>
          </cell>
          <cell r="J1748">
            <v>28</v>
          </cell>
          <cell r="L1748">
            <v>0</v>
          </cell>
        </row>
        <row r="1749">
          <cell r="B1749">
            <v>2018</v>
          </cell>
          <cell r="C1749">
            <v>2</v>
          </cell>
          <cell r="E1749" t="str">
            <v>KC</v>
          </cell>
          <cell r="I1749">
            <v>42</v>
          </cell>
          <cell r="J1749">
            <v>37</v>
          </cell>
          <cell r="L1749">
            <v>0</v>
          </cell>
        </row>
        <row r="1750">
          <cell r="B1750">
            <v>2018</v>
          </cell>
          <cell r="C1750">
            <v>3</v>
          </cell>
          <cell r="E1750" t="str">
            <v>KC</v>
          </cell>
          <cell r="I1750">
            <v>38</v>
          </cell>
          <cell r="J1750">
            <v>27</v>
          </cell>
          <cell r="L1750">
            <v>0</v>
          </cell>
        </row>
        <row r="1751">
          <cell r="B1751">
            <v>2018</v>
          </cell>
          <cell r="C1751">
            <v>4</v>
          </cell>
          <cell r="E1751" t="str">
            <v>KC</v>
          </cell>
          <cell r="I1751">
            <v>27</v>
          </cell>
          <cell r="J1751">
            <v>23</v>
          </cell>
          <cell r="L1751">
            <v>0</v>
          </cell>
        </row>
        <row r="1752">
          <cell r="B1752">
            <v>2018</v>
          </cell>
          <cell r="C1752">
            <v>5</v>
          </cell>
          <cell r="E1752" t="str">
            <v>KC</v>
          </cell>
          <cell r="I1752">
            <v>30</v>
          </cell>
          <cell r="J1752">
            <v>14</v>
          </cell>
          <cell r="L1752">
            <v>0</v>
          </cell>
        </row>
        <row r="1753">
          <cell r="B1753">
            <v>2018</v>
          </cell>
          <cell r="C1753">
            <v>6</v>
          </cell>
          <cell r="E1753" t="str">
            <v>KC</v>
          </cell>
          <cell r="I1753">
            <v>40</v>
          </cell>
          <cell r="J1753">
            <v>43</v>
          </cell>
          <cell r="L1753">
            <v>0</v>
          </cell>
        </row>
        <row r="1754">
          <cell r="B1754">
            <v>2018</v>
          </cell>
          <cell r="C1754">
            <v>7</v>
          </cell>
          <cell r="E1754" t="str">
            <v>KC</v>
          </cell>
          <cell r="I1754">
            <v>45</v>
          </cell>
          <cell r="J1754">
            <v>10</v>
          </cell>
          <cell r="L1754">
            <v>0</v>
          </cell>
        </row>
        <row r="1755">
          <cell r="B1755">
            <v>2018</v>
          </cell>
          <cell r="C1755">
            <v>8</v>
          </cell>
          <cell r="E1755" t="str">
            <v>KC</v>
          </cell>
          <cell r="I1755">
            <v>30</v>
          </cell>
          <cell r="J1755">
            <v>23</v>
          </cell>
          <cell r="L1755">
            <v>0</v>
          </cell>
        </row>
        <row r="1756">
          <cell r="B1756">
            <v>2018</v>
          </cell>
          <cell r="C1756">
            <v>9</v>
          </cell>
          <cell r="E1756" t="str">
            <v>KC</v>
          </cell>
          <cell r="I1756">
            <v>37</v>
          </cell>
          <cell r="J1756">
            <v>21</v>
          </cell>
          <cell r="L1756">
            <v>0</v>
          </cell>
        </row>
        <row r="1757">
          <cell r="B1757">
            <v>2018</v>
          </cell>
          <cell r="C1757">
            <v>10</v>
          </cell>
          <cell r="E1757" t="str">
            <v>KC</v>
          </cell>
          <cell r="I1757">
            <v>26</v>
          </cell>
          <cell r="J1757">
            <v>14</v>
          </cell>
          <cell r="L1757">
            <v>0</v>
          </cell>
        </row>
        <row r="1758">
          <cell r="B1758">
            <v>2018</v>
          </cell>
          <cell r="C1758">
            <v>11</v>
          </cell>
          <cell r="E1758" t="str">
            <v>KC</v>
          </cell>
          <cell r="I1758">
            <v>51</v>
          </cell>
          <cell r="J1758">
            <v>54</v>
          </cell>
          <cell r="L1758">
            <v>0</v>
          </cell>
        </row>
        <row r="1759">
          <cell r="B1759">
            <v>2018</v>
          </cell>
          <cell r="C1759">
            <v>13</v>
          </cell>
          <cell r="E1759" t="str">
            <v>KC</v>
          </cell>
          <cell r="I1759">
            <v>40</v>
          </cell>
          <cell r="J1759">
            <v>33</v>
          </cell>
          <cell r="L1759">
            <v>0</v>
          </cell>
        </row>
        <row r="1760">
          <cell r="B1760">
            <v>2018</v>
          </cell>
          <cell r="C1760">
            <v>14</v>
          </cell>
          <cell r="E1760" t="str">
            <v>KC</v>
          </cell>
          <cell r="I1760">
            <v>27</v>
          </cell>
          <cell r="J1760">
            <v>24</v>
          </cell>
          <cell r="L1760">
            <v>0</v>
          </cell>
        </row>
        <row r="1761">
          <cell r="B1761">
            <v>2018</v>
          </cell>
          <cell r="C1761">
            <v>15</v>
          </cell>
          <cell r="E1761" t="str">
            <v>KC</v>
          </cell>
          <cell r="I1761">
            <v>28</v>
          </cell>
          <cell r="J1761">
            <v>29</v>
          </cell>
          <cell r="L1761">
            <v>0</v>
          </cell>
        </row>
        <row r="1762">
          <cell r="B1762">
            <v>2018</v>
          </cell>
          <cell r="C1762">
            <v>16</v>
          </cell>
          <cell r="E1762" t="str">
            <v>KC</v>
          </cell>
          <cell r="I1762">
            <v>31</v>
          </cell>
          <cell r="J1762">
            <v>38</v>
          </cell>
          <cell r="L1762">
            <v>0</v>
          </cell>
        </row>
        <row r="1763">
          <cell r="B1763">
            <v>2018</v>
          </cell>
          <cell r="C1763">
            <v>17</v>
          </cell>
          <cell r="E1763" t="str">
            <v>KC</v>
          </cell>
          <cell r="I1763">
            <v>35</v>
          </cell>
          <cell r="J1763">
            <v>3</v>
          </cell>
          <cell r="L1763">
            <v>0</v>
          </cell>
        </row>
        <row r="1764">
          <cell r="B1764">
            <v>2018</v>
          </cell>
          <cell r="C1764">
            <v>2</v>
          </cell>
          <cell r="E1764" t="str">
            <v>KC</v>
          </cell>
          <cell r="I1764">
            <v>31</v>
          </cell>
          <cell r="J1764">
            <v>13</v>
          </cell>
          <cell r="L1764">
            <v>1</v>
          </cell>
        </row>
        <row r="1765">
          <cell r="B1765">
            <v>2018</v>
          </cell>
          <cell r="C1765">
            <v>3</v>
          </cell>
          <cell r="E1765" t="str">
            <v>KC</v>
          </cell>
          <cell r="I1765">
            <v>31</v>
          </cell>
          <cell r="J1765">
            <v>37</v>
          </cell>
          <cell r="L1765">
            <v>1</v>
          </cell>
        </row>
        <row r="1766">
          <cell r="B1766">
            <v>2019</v>
          </cell>
          <cell r="C1766">
            <v>1</v>
          </cell>
          <cell r="E1766" t="str">
            <v>KC</v>
          </cell>
          <cell r="I1766">
            <v>40</v>
          </cell>
          <cell r="J1766">
            <v>26</v>
          </cell>
          <cell r="L1766">
            <v>0</v>
          </cell>
        </row>
        <row r="1767">
          <cell r="B1767">
            <v>2019</v>
          </cell>
          <cell r="C1767">
            <v>2</v>
          </cell>
          <cell r="E1767" t="str">
            <v>KC</v>
          </cell>
          <cell r="I1767">
            <v>28</v>
          </cell>
          <cell r="J1767">
            <v>10</v>
          </cell>
          <cell r="L1767">
            <v>0</v>
          </cell>
        </row>
        <row r="1768">
          <cell r="B1768">
            <v>2019</v>
          </cell>
          <cell r="C1768">
            <v>3</v>
          </cell>
          <cell r="E1768" t="str">
            <v>KC</v>
          </cell>
          <cell r="I1768">
            <v>33</v>
          </cell>
          <cell r="J1768">
            <v>28</v>
          </cell>
          <cell r="L1768">
            <v>0</v>
          </cell>
        </row>
        <row r="1769">
          <cell r="B1769">
            <v>2019</v>
          </cell>
          <cell r="C1769">
            <v>4</v>
          </cell>
          <cell r="E1769" t="str">
            <v>KC</v>
          </cell>
          <cell r="I1769">
            <v>34</v>
          </cell>
          <cell r="J1769">
            <v>30</v>
          </cell>
          <cell r="L1769">
            <v>0</v>
          </cell>
        </row>
        <row r="1770">
          <cell r="B1770">
            <v>2019</v>
          </cell>
          <cell r="C1770">
            <v>5</v>
          </cell>
          <cell r="E1770" t="str">
            <v>KC</v>
          </cell>
          <cell r="I1770">
            <v>13</v>
          </cell>
          <cell r="J1770">
            <v>19</v>
          </cell>
          <cell r="L1770">
            <v>0</v>
          </cell>
        </row>
        <row r="1771">
          <cell r="B1771">
            <v>2019</v>
          </cell>
          <cell r="C1771">
            <v>6</v>
          </cell>
          <cell r="E1771" t="str">
            <v>KC</v>
          </cell>
          <cell r="I1771">
            <v>24</v>
          </cell>
          <cell r="J1771">
            <v>31</v>
          </cell>
          <cell r="L1771">
            <v>0</v>
          </cell>
        </row>
        <row r="1772">
          <cell r="B1772">
            <v>2019</v>
          </cell>
          <cell r="C1772">
            <v>7</v>
          </cell>
          <cell r="E1772" t="str">
            <v>KC</v>
          </cell>
          <cell r="I1772">
            <v>30</v>
          </cell>
          <cell r="J1772">
            <v>6</v>
          </cell>
          <cell r="L1772">
            <v>0</v>
          </cell>
        </row>
        <row r="1773">
          <cell r="B1773">
            <v>2019</v>
          </cell>
          <cell r="C1773">
            <v>8</v>
          </cell>
          <cell r="E1773" t="str">
            <v>KC</v>
          </cell>
          <cell r="I1773">
            <v>24</v>
          </cell>
          <cell r="J1773">
            <v>31</v>
          </cell>
          <cell r="L1773">
            <v>0</v>
          </cell>
        </row>
        <row r="1774">
          <cell r="B1774">
            <v>2019</v>
          </cell>
          <cell r="C1774">
            <v>9</v>
          </cell>
          <cell r="E1774" t="str">
            <v>KC</v>
          </cell>
          <cell r="I1774">
            <v>26</v>
          </cell>
          <cell r="J1774">
            <v>23</v>
          </cell>
          <cell r="L1774">
            <v>0</v>
          </cell>
        </row>
        <row r="1775">
          <cell r="B1775">
            <v>2019</v>
          </cell>
          <cell r="C1775">
            <v>10</v>
          </cell>
          <cell r="E1775" t="str">
            <v>KC</v>
          </cell>
          <cell r="I1775">
            <v>32</v>
          </cell>
          <cell r="J1775">
            <v>35</v>
          </cell>
          <cell r="L1775">
            <v>0</v>
          </cell>
        </row>
        <row r="1776">
          <cell r="B1776">
            <v>2019</v>
          </cell>
          <cell r="C1776">
            <v>11</v>
          </cell>
          <cell r="E1776" t="str">
            <v>KC</v>
          </cell>
          <cell r="I1776">
            <v>24</v>
          </cell>
          <cell r="J1776">
            <v>17</v>
          </cell>
          <cell r="L1776">
            <v>0</v>
          </cell>
        </row>
        <row r="1777">
          <cell r="B1777">
            <v>2019</v>
          </cell>
          <cell r="C1777">
            <v>13</v>
          </cell>
          <cell r="E1777" t="str">
            <v>KC</v>
          </cell>
          <cell r="I1777">
            <v>40</v>
          </cell>
          <cell r="J1777">
            <v>9</v>
          </cell>
          <cell r="L1777">
            <v>0</v>
          </cell>
        </row>
        <row r="1778">
          <cell r="B1778">
            <v>2019</v>
          </cell>
          <cell r="C1778">
            <v>14</v>
          </cell>
          <cell r="E1778" t="str">
            <v>KC</v>
          </cell>
          <cell r="I1778">
            <v>23</v>
          </cell>
          <cell r="J1778">
            <v>16</v>
          </cell>
          <cell r="L1778">
            <v>0</v>
          </cell>
        </row>
        <row r="1779">
          <cell r="B1779">
            <v>2019</v>
          </cell>
          <cell r="C1779">
            <v>15</v>
          </cell>
          <cell r="E1779" t="str">
            <v>KC</v>
          </cell>
          <cell r="I1779">
            <v>23</v>
          </cell>
          <cell r="J1779">
            <v>3</v>
          </cell>
          <cell r="L1779">
            <v>0</v>
          </cell>
        </row>
        <row r="1780">
          <cell r="B1780">
            <v>2019</v>
          </cell>
          <cell r="C1780">
            <v>16</v>
          </cell>
          <cell r="E1780" t="str">
            <v>KC</v>
          </cell>
          <cell r="I1780">
            <v>26</v>
          </cell>
          <cell r="J1780">
            <v>3</v>
          </cell>
          <cell r="L1780">
            <v>0</v>
          </cell>
        </row>
        <row r="1781">
          <cell r="B1781">
            <v>2019</v>
          </cell>
          <cell r="C1781">
            <v>17</v>
          </cell>
          <cell r="E1781" t="str">
            <v>KC</v>
          </cell>
          <cell r="I1781">
            <v>31</v>
          </cell>
          <cell r="J1781">
            <v>21</v>
          </cell>
          <cell r="L1781">
            <v>0</v>
          </cell>
        </row>
        <row r="1782">
          <cell r="B1782">
            <v>2019</v>
          </cell>
          <cell r="C1782">
            <v>2</v>
          </cell>
          <cell r="E1782" t="str">
            <v>KC</v>
          </cell>
          <cell r="I1782">
            <v>51</v>
          </cell>
          <cell r="J1782">
            <v>31</v>
          </cell>
          <cell r="L1782">
            <v>1</v>
          </cell>
        </row>
        <row r="1783">
          <cell r="B1783">
            <v>2019</v>
          </cell>
          <cell r="C1783">
            <v>3</v>
          </cell>
          <cell r="E1783" t="str">
            <v>KC</v>
          </cell>
          <cell r="I1783">
            <v>35</v>
          </cell>
          <cell r="J1783">
            <v>24</v>
          </cell>
          <cell r="L1783">
            <v>1</v>
          </cell>
        </row>
        <row r="1784">
          <cell r="B1784">
            <v>2019</v>
          </cell>
          <cell r="C1784">
            <v>5</v>
          </cell>
          <cell r="E1784" t="str">
            <v>KC</v>
          </cell>
          <cell r="I1784">
            <v>31</v>
          </cell>
          <cell r="J1784">
            <v>20</v>
          </cell>
          <cell r="L1784">
            <v>1</v>
          </cell>
        </row>
        <row r="1785">
          <cell r="B1785">
            <v>2020</v>
          </cell>
          <cell r="C1785">
            <v>1</v>
          </cell>
          <cell r="E1785" t="str">
            <v>KC</v>
          </cell>
          <cell r="I1785">
            <v>34</v>
          </cell>
          <cell r="J1785">
            <v>20</v>
          </cell>
          <cell r="L1785">
            <v>0</v>
          </cell>
        </row>
        <row r="1786">
          <cell r="B1786">
            <v>2020</v>
          </cell>
          <cell r="C1786">
            <v>2</v>
          </cell>
          <cell r="E1786" t="str">
            <v>KC</v>
          </cell>
          <cell r="I1786">
            <v>23</v>
          </cell>
          <cell r="J1786">
            <v>20</v>
          </cell>
          <cell r="L1786">
            <v>0</v>
          </cell>
        </row>
        <row r="1787">
          <cell r="B1787">
            <v>2020</v>
          </cell>
          <cell r="C1787">
            <v>3</v>
          </cell>
          <cell r="E1787" t="str">
            <v>KC</v>
          </cell>
          <cell r="I1787">
            <v>34</v>
          </cell>
          <cell r="J1787">
            <v>20</v>
          </cell>
          <cell r="L1787">
            <v>0</v>
          </cell>
        </row>
        <row r="1788">
          <cell r="B1788">
            <v>2020</v>
          </cell>
          <cell r="C1788">
            <v>4</v>
          </cell>
          <cell r="E1788" t="str">
            <v>KC</v>
          </cell>
          <cell r="I1788">
            <v>26</v>
          </cell>
          <cell r="J1788">
            <v>10</v>
          </cell>
          <cell r="L1788">
            <v>0</v>
          </cell>
        </row>
        <row r="1789">
          <cell r="B1789">
            <v>2020</v>
          </cell>
          <cell r="C1789">
            <v>5</v>
          </cell>
          <cell r="E1789" t="str">
            <v>KC</v>
          </cell>
          <cell r="I1789">
            <v>32</v>
          </cell>
          <cell r="J1789">
            <v>40</v>
          </cell>
          <cell r="L1789">
            <v>0</v>
          </cell>
        </row>
        <row r="1790">
          <cell r="B1790">
            <v>2020</v>
          </cell>
          <cell r="C1790">
            <v>6</v>
          </cell>
          <cell r="E1790" t="str">
            <v>KC</v>
          </cell>
          <cell r="I1790">
            <v>26</v>
          </cell>
          <cell r="J1790">
            <v>17</v>
          </cell>
          <cell r="L1790">
            <v>0</v>
          </cell>
        </row>
        <row r="1791">
          <cell r="B1791">
            <v>2020</v>
          </cell>
          <cell r="C1791">
            <v>7</v>
          </cell>
          <cell r="E1791" t="str">
            <v>KC</v>
          </cell>
          <cell r="I1791">
            <v>43</v>
          </cell>
          <cell r="J1791">
            <v>16</v>
          </cell>
          <cell r="L1791">
            <v>0</v>
          </cell>
        </row>
        <row r="1792">
          <cell r="B1792">
            <v>2020</v>
          </cell>
          <cell r="C1792">
            <v>8</v>
          </cell>
          <cell r="E1792" t="str">
            <v>KC</v>
          </cell>
          <cell r="I1792">
            <v>35</v>
          </cell>
          <cell r="J1792">
            <v>9</v>
          </cell>
          <cell r="L1792">
            <v>0</v>
          </cell>
        </row>
        <row r="1793">
          <cell r="B1793">
            <v>2020</v>
          </cell>
          <cell r="C1793">
            <v>9</v>
          </cell>
          <cell r="E1793" t="str">
            <v>KC</v>
          </cell>
          <cell r="I1793">
            <v>33</v>
          </cell>
          <cell r="J1793">
            <v>31</v>
          </cell>
          <cell r="L1793">
            <v>0</v>
          </cell>
        </row>
        <row r="1794">
          <cell r="B1794">
            <v>2020</v>
          </cell>
          <cell r="C1794">
            <v>11</v>
          </cell>
          <cell r="E1794" t="str">
            <v>KC</v>
          </cell>
          <cell r="I1794">
            <v>35</v>
          </cell>
          <cell r="J1794">
            <v>31</v>
          </cell>
          <cell r="L1794">
            <v>0</v>
          </cell>
        </row>
        <row r="1795">
          <cell r="B1795">
            <v>2020</v>
          </cell>
          <cell r="C1795">
            <v>12</v>
          </cell>
          <cell r="E1795" t="str">
            <v>KC</v>
          </cell>
          <cell r="I1795">
            <v>27</v>
          </cell>
          <cell r="J1795">
            <v>24</v>
          </cell>
          <cell r="L1795">
            <v>0</v>
          </cell>
        </row>
        <row r="1796">
          <cell r="B1796">
            <v>2020</v>
          </cell>
          <cell r="C1796">
            <v>13</v>
          </cell>
          <cell r="E1796" t="str">
            <v>KC</v>
          </cell>
          <cell r="I1796">
            <v>22</v>
          </cell>
          <cell r="J1796">
            <v>16</v>
          </cell>
          <cell r="L1796">
            <v>0</v>
          </cell>
        </row>
        <row r="1797">
          <cell r="B1797">
            <v>2020</v>
          </cell>
          <cell r="C1797">
            <v>14</v>
          </cell>
          <cell r="E1797" t="str">
            <v>KC</v>
          </cell>
          <cell r="I1797">
            <v>33</v>
          </cell>
          <cell r="J1797">
            <v>27</v>
          </cell>
          <cell r="L1797">
            <v>0</v>
          </cell>
        </row>
        <row r="1798">
          <cell r="B1798">
            <v>2020</v>
          </cell>
          <cell r="C1798">
            <v>15</v>
          </cell>
          <cell r="E1798" t="str">
            <v>KC</v>
          </cell>
          <cell r="I1798">
            <v>32</v>
          </cell>
          <cell r="J1798">
            <v>29</v>
          </cell>
          <cell r="L1798">
            <v>0</v>
          </cell>
        </row>
        <row r="1799">
          <cell r="B1799">
            <v>2020</v>
          </cell>
          <cell r="C1799">
            <v>16</v>
          </cell>
          <cell r="E1799" t="str">
            <v>KC</v>
          </cell>
          <cell r="I1799">
            <v>17</v>
          </cell>
          <cell r="J1799">
            <v>14</v>
          </cell>
          <cell r="L1799">
            <v>0</v>
          </cell>
        </row>
        <row r="1800">
          <cell r="B1800">
            <v>2020</v>
          </cell>
          <cell r="C1800">
            <v>17</v>
          </cell>
          <cell r="E1800" t="str">
            <v>KC</v>
          </cell>
          <cell r="I1800">
            <v>21</v>
          </cell>
          <cell r="J1800">
            <v>38</v>
          </cell>
          <cell r="L1800">
            <v>0</v>
          </cell>
        </row>
        <row r="1801">
          <cell r="B1801">
            <v>2020</v>
          </cell>
          <cell r="C1801">
            <v>2</v>
          </cell>
          <cell r="E1801" t="str">
            <v>KC</v>
          </cell>
          <cell r="I1801">
            <v>22</v>
          </cell>
          <cell r="J1801">
            <v>17</v>
          </cell>
          <cell r="L1801">
            <v>1</v>
          </cell>
        </row>
        <row r="1802">
          <cell r="B1802">
            <v>2020</v>
          </cell>
          <cell r="C1802">
            <v>3</v>
          </cell>
          <cell r="E1802" t="str">
            <v>KC</v>
          </cell>
          <cell r="I1802">
            <v>38</v>
          </cell>
          <cell r="J1802">
            <v>24</v>
          </cell>
          <cell r="L1802">
            <v>1</v>
          </cell>
        </row>
        <row r="1803">
          <cell r="B1803">
            <v>2020</v>
          </cell>
          <cell r="C1803">
            <v>5</v>
          </cell>
          <cell r="E1803" t="str">
            <v>KC</v>
          </cell>
          <cell r="I1803">
            <v>9</v>
          </cell>
          <cell r="J1803">
            <v>31</v>
          </cell>
          <cell r="L1803">
            <v>1</v>
          </cell>
        </row>
        <row r="1804">
          <cell r="B1804">
            <v>2021</v>
          </cell>
          <cell r="C1804">
            <v>1</v>
          </cell>
          <cell r="E1804" t="str">
            <v>KC</v>
          </cell>
          <cell r="I1804">
            <v>33</v>
          </cell>
          <cell r="J1804">
            <v>29</v>
          </cell>
          <cell r="L1804">
            <v>0</v>
          </cell>
        </row>
        <row r="1805">
          <cell r="B1805">
            <v>2021</v>
          </cell>
          <cell r="C1805">
            <v>2</v>
          </cell>
          <cell r="E1805" t="str">
            <v>KC</v>
          </cell>
          <cell r="I1805">
            <v>35</v>
          </cell>
          <cell r="J1805">
            <v>36</v>
          </cell>
          <cell r="L1805">
            <v>0</v>
          </cell>
        </row>
        <row r="1806">
          <cell r="B1806">
            <v>2021</v>
          </cell>
          <cell r="C1806">
            <v>3</v>
          </cell>
          <cell r="E1806" t="str">
            <v>KC</v>
          </cell>
          <cell r="I1806">
            <v>24</v>
          </cell>
          <cell r="J1806">
            <v>30</v>
          </cell>
          <cell r="L1806">
            <v>0</v>
          </cell>
        </row>
        <row r="1807">
          <cell r="B1807">
            <v>2021</v>
          </cell>
          <cell r="C1807">
            <v>4</v>
          </cell>
          <cell r="E1807" t="str">
            <v>KC</v>
          </cell>
          <cell r="I1807">
            <v>42</v>
          </cell>
          <cell r="J1807">
            <v>30</v>
          </cell>
          <cell r="L1807">
            <v>0</v>
          </cell>
        </row>
        <row r="1808">
          <cell r="B1808">
            <v>2021</v>
          </cell>
          <cell r="C1808">
            <v>5</v>
          </cell>
          <cell r="E1808" t="str">
            <v>KC</v>
          </cell>
          <cell r="I1808">
            <v>20</v>
          </cell>
          <cell r="J1808">
            <v>38</v>
          </cell>
          <cell r="L1808">
            <v>0</v>
          </cell>
        </row>
        <row r="1809">
          <cell r="B1809">
            <v>2021</v>
          </cell>
          <cell r="C1809">
            <v>6</v>
          </cell>
          <cell r="E1809" t="str">
            <v>KC</v>
          </cell>
          <cell r="I1809">
            <v>31</v>
          </cell>
          <cell r="J1809">
            <v>13</v>
          </cell>
          <cell r="L1809">
            <v>0</v>
          </cell>
        </row>
        <row r="1810">
          <cell r="B1810">
            <v>2021</v>
          </cell>
          <cell r="C1810">
            <v>7</v>
          </cell>
          <cell r="E1810" t="str">
            <v>KC</v>
          </cell>
          <cell r="I1810">
            <v>3</v>
          </cell>
          <cell r="J1810">
            <v>27</v>
          </cell>
          <cell r="L1810">
            <v>0</v>
          </cell>
        </row>
        <row r="1811">
          <cell r="B1811">
            <v>2021</v>
          </cell>
          <cell r="C1811">
            <v>8</v>
          </cell>
          <cell r="E1811" t="str">
            <v>KC</v>
          </cell>
          <cell r="I1811">
            <v>20</v>
          </cell>
          <cell r="J1811">
            <v>17</v>
          </cell>
          <cell r="L1811">
            <v>0</v>
          </cell>
        </row>
        <row r="1812">
          <cell r="B1812">
            <v>2021</v>
          </cell>
          <cell r="C1812">
            <v>9</v>
          </cell>
          <cell r="E1812" t="str">
            <v>KC</v>
          </cell>
          <cell r="I1812">
            <v>13</v>
          </cell>
          <cell r="J1812">
            <v>7</v>
          </cell>
          <cell r="L1812">
            <v>0</v>
          </cell>
        </row>
        <row r="1813">
          <cell r="B1813">
            <v>2021</v>
          </cell>
          <cell r="C1813">
            <v>10</v>
          </cell>
          <cell r="E1813" t="str">
            <v>KC</v>
          </cell>
          <cell r="I1813">
            <v>41</v>
          </cell>
          <cell r="J1813">
            <v>14</v>
          </cell>
          <cell r="L1813">
            <v>0</v>
          </cell>
        </row>
        <row r="1814">
          <cell r="B1814">
            <v>2021</v>
          </cell>
          <cell r="C1814">
            <v>11</v>
          </cell>
          <cell r="E1814" t="str">
            <v>KC</v>
          </cell>
          <cell r="I1814">
            <v>19</v>
          </cell>
          <cell r="J1814">
            <v>9</v>
          </cell>
          <cell r="L1814">
            <v>0</v>
          </cell>
        </row>
        <row r="1815">
          <cell r="B1815">
            <v>2021</v>
          </cell>
          <cell r="C1815">
            <v>13</v>
          </cell>
          <cell r="E1815" t="str">
            <v>KC</v>
          </cell>
          <cell r="I1815">
            <v>22</v>
          </cell>
          <cell r="J1815">
            <v>9</v>
          </cell>
          <cell r="L1815">
            <v>0</v>
          </cell>
        </row>
        <row r="1816">
          <cell r="B1816">
            <v>2021</v>
          </cell>
          <cell r="C1816">
            <v>14</v>
          </cell>
          <cell r="E1816" t="str">
            <v>KC</v>
          </cell>
          <cell r="I1816">
            <v>48</v>
          </cell>
          <cell r="J1816">
            <v>9</v>
          </cell>
          <cell r="L1816">
            <v>0</v>
          </cell>
        </row>
        <row r="1817">
          <cell r="B1817">
            <v>2021</v>
          </cell>
          <cell r="C1817">
            <v>15</v>
          </cell>
          <cell r="E1817" t="str">
            <v>KC</v>
          </cell>
          <cell r="I1817">
            <v>34</v>
          </cell>
          <cell r="J1817">
            <v>28</v>
          </cell>
          <cell r="L1817">
            <v>0</v>
          </cell>
        </row>
        <row r="1818">
          <cell r="B1818">
            <v>2021</v>
          </cell>
          <cell r="C1818">
            <v>16</v>
          </cell>
          <cell r="E1818" t="str">
            <v>KC</v>
          </cell>
          <cell r="I1818">
            <v>36</v>
          </cell>
          <cell r="J1818">
            <v>10</v>
          </cell>
          <cell r="L1818">
            <v>0</v>
          </cell>
        </row>
        <row r="1819">
          <cell r="B1819">
            <v>2021</v>
          </cell>
          <cell r="C1819">
            <v>17</v>
          </cell>
          <cell r="E1819" t="str">
            <v>KC</v>
          </cell>
          <cell r="I1819">
            <v>31</v>
          </cell>
          <cell r="J1819">
            <v>34</v>
          </cell>
          <cell r="L1819">
            <v>0</v>
          </cell>
        </row>
        <row r="1820">
          <cell r="B1820">
            <v>2021</v>
          </cell>
          <cell r="C1820">
            <v>18</v>
          </cell>
          <cell r="E1820" t="str">
            <v>KC</v>
          </cell>
          <cell r="I1820">
            <v>28</v>
          </cell>
          <cell r="J1820">
            <v>24</v>
          </cell>
          <cell r="L1820">
            <v>0</v>
          </cell>
        </row>
        <row r="1821">
          <cell r="B1821">
            <v>2021</v>
          </cell>
          <cell r="C1821">
            <v>1</v>
          </cell>
          <cell r="E1821" t="str">
            <v>KC</v>
          </cell>
          <cell r="I1821">
            <v>42</v>
          </cell>
          <cell r="J1821">
            <v>21</v>
          </cell>
          <cell r="L1821">
            <v>1</v>
          </cell>
        </row>
        <row r="1822">
          <cell r="B1822">
            <v>2021</v>
          </cell>
          <cell r="C1822">
            <v>2</v>
          </cell>
          <cell r="E1822" t="str">
            <v>KC</v>
          </cell>
          <cell r="I1822">
            <v>42</v>
          </cell>
          <cell r="J1822">
            <v>36</v>
          </cell>
          <cell r="L1822">
            <v>1</v>
          </cell>
        </row>
        <row r="1823">
          <cell r="B1823">
            <v>2021</v>
          </cell>
          <cell r="C1823">
            <v>3</v>
          </cell>
          <cell r="E1823" t="str">
            <v>KC</v>
          </cell>
          <cell r="I1823">
            <v>24</v>
          </cell>
          <cell r="J1823">
            <v>27</v>
          </cell>
          <cell r="L1823">
            <v>1</v>
          </cell>
        </row>
        <row r="1824">
          <cell r="B1824">
            <v>2022</v>
          </cell>
          <cell r="C1824">
            <v>1</v>
          </cell>
          <cell r="E1824" t="str">
            <v>KC</v>
          </cell>
          <cell r="I1824">
            <v>44</v>
          </cell>
          <cell r="J1824">
            <v>21</v>
          </cell>
          <cell r="L1824">
            <v>0</v>
          </cell>
        </row>
        <row r="1825">
          <cell r="B1825">
            <v>2022</v>
          </cell>
          <cell r="C1825">
            <v>2</v>
          </cell>
          <cell r="E1825" t="str">
            <v>KC</v>
          </cell>
          <cell r="I1825">
            <v>27</v>
          </cell>
          <cell r="J1825">
            <v>24</v>
          </cell>
          <cell r="L1825">
            <v>0</v>
          </cell>
        </row>
        <row r="1826">
          <cell r="B1826">
            <v>2022</v>
          </cell>
          <cell r="C1826">
            <v>3</v>
          </cell>
          <cell r="E1826" t="str">
            <v>KC</v>
          </cell>
          <cell r="I1826">
            <v>17</v>
          </cell>
          <cell r="J1826">
            <v>20</v>
          </cell>
          <cell r="L1826">
            <v>0</v>
          </cell>
        </row>
        <row r="1827">
          <cell r="B1827">
            <v>2022</v>
          </cell>
          <cell r="C1827">
            <v>4</v>
          </cell>
          <cell r="E1827" t="str">
            <v>KC</v>
          </cell>
          <cell r="I1827">
            <v>41</v>
          </cell>
          <cell r="J1827">
            <v>31</v>
          </cell>
          <cell r="L1827">
            <v>0</v>
          </cell>
        </row>
        <row r="1828">
          <cell r="B1828">
            <v>2022</v>
          </cell>
          <cell r="C1828">
            <v>5</v>
          </cell>
          <cell r="E1828" t="str">
            <v>KC</v>
          </cell>
          <cell r="I1828">
            <v>30</v>
          </cell>
          <cell r="J1828">
            <v>29</v>
          </cell>
          <cell r="L1828">
            <v>0</v>
          </cell>
        </row>
        <row r="1829">
          <cell r="B1829">
            <v>2022</v>
          </cell>
          <cell r="C1829">
            <v>6</v>
          </cell>
          <cell r="E1829" t="str">
            <v>KC</v>
          </cell>
          <cell r="I1829">
            <v>20</v>
          </cell>
          <cell r="J1829">
            <v>24</v>
          </cell>
          <cell r="L1829">
            <v>0</v>
          </cell>
        </row>
        <row r="1830">
          <cell r="B1830">
            <v>2022</v>
          </cell>
          <cell r="C1830">
            <v>7</v>
          </cell>
          <cell r="E1830" t="str">
            <v>KC</v>
          </cell>
          <cell r="I1830">
            <v>44</v>
          </cell>
          <cell r="J1830">
            <v>23</v>
          </cell>
          <cell r="L1830">
            <v>0</v>
          </cell>
        </row>
        <row r="1831">
          <cell r="B1831">
            <v>2022</v>
          </cell>
          <cell r="C1831">
            <v>9</v>
          </cell>
          <cell r="E1831" t="str">
            <v>KC</v>
          </cell>
          <cell r="I1831">
            <v>20</v>
          </cell>
          <cell r="J1831">
            <v>17</v>
          </cell>
          <cell r="L1831">
            <v>0</v>
          </cell>
        </row>
        <row r="1832">
          <cell r="B1832">
            <v>2022</v>
          </cell>
          <cell r="C1832">
            <v>10</v>
          </cell>
          <cell r="E1832" t="str">
            <v>KC</v>
          </cell>
          <cell r="I1832">
            <v>27</v>
          </cell>
          <cell r="J1832">
            <v>17</v>
          </cell>
          <cell r="L1832">
            <v>0</v>
          </cell>
        </row>
        <row r="1833">
          <cell r="B1833">
            <v>2022</v>
          </cell>
          <cell r="C1833">
            <v>11</v>
          </cell>
          <cell r="E1833" t="str">
            <v>KC</v>
          </cell>
          <cell r="I1833">
            <v>30</v>
          </cell>
          <cell r="J1833">
            <v>27</v>
          </cell>
          <cell r="L1833">
            <v>0</v>
          </cell>
        </row>
        <row r="1834">
          <cell r="B1834">
            <v>2022</v>
          </cell>
          <cell r="C1834">
            <v>12</v>
          </cell>
          <cell r="E1834" t="str">
            <v>KC</v>
          </cell>
          <cell r="I1834">
            <v>26</v>
          </cell>
          <cell r="J1834">
            <v>10</v>
          </cell>
          <cell r="L1834">
            <v>0</v>
          </cell>
        </row>
        <row r="1835">
          <cell r="B1835">
            <v>2022</v>
          </cell>
          <cell r="C1835">
            <v>13</v>
          </cell>
          <cell r="E1835" t="str">
            <v>KC</v>
          </cell>
          <cell r="I1835">
            <v>24</v>
          </cell>
          <cell r="J1835">
            <v>27</v>
          </cell>
          <cell r="L1835">
            <v>0</v>
          </cell>
        </row>
        <row r="1836">
          <cell r="B1836">
            <v>2022</v>
          </cell>
          <cell r="C1836">
            <v>14</v>
          </cell>
          <cell r="E1836" t="str">
            <v>KC</v>
          </cell>
          <cell r="I1836">
            <v>34</v>
          </cell>
          <cell r="J1836">
            <v>28</v>
          </cell>
          <cell r="L1836">
            <v>0</v>
          </cell>
        </row>
        <row r="1837">
          <cell r="B1837">
            <v>2022</v>
          </cell>
          <cell r="C1837">
            <v>15</v>
          </cell>
          <cell r="E1837" t="str">
            <v>KC</v>
          </cell>
          <cell r="I1837">
            <v>30</v>
          </cell>
          <cell r="J1837">
            <v>24</v>
          </cell>
          <cell r="L1837">
            <v>0</v>
          </cell>
        </row>
        <row r="1838">
          <cell r="B1838">
            <v>2022</v>
          </cell>
          <cell r="C1838">
            <v>16</v>
          </cell>
          <cell r="E1838" t="str">
            <v>KC</v>
          </cell>
          <cell r="I1838">
            <v>24</v>
          </cell>
          <cell r="J1838">
            <v>10</v>
          </cell>
          <cell r="L1838">
            <v>0</v>
          </cell>
        </row>
        <row r="1839">
          <cell r="B1839">
            <v>2022</v>
          </cell>
          <cell r="C1839">
            <v>17</v>
          </cell>
          <cell r="E1839" t="str">
            <v>KC</v>
          </cell>
          <cell r="I1839">
            <v>27</v>
          </cell>
          <cell r="J1839">
            <v>24</v>
          </cell>
          <cell r="L1839">
            <v>0</v>
          </cell>
        </row>
        <row r="1840">
          <cell r="B1840">
            <v>2022</v>
          </cell>
          <cell r="C1840">
            <v>18</v>
          </cell>
          <cell r="E1840" t="str">
            <v>KC</v>
          </cell>
          <cell r="I1840">
            <v>31</v>
          </cell>
          <cell r="J1840">
            <v>13</v>
          </cell>
          <cell r="L1840">
            <v>0</v>
          </cell>
        </row>
        <row r="1841">
          <cell r="B1841">
            <v>2022</v>
          </cell>
          <cell r="C1841">
            <v>2</v>
          </cell>
          <cell r="E1841" t="str">
            <v>KC</v>
          </cell>
          <cell r="I1841">
            <v>27</v>
          </cell>
          <cell r="J1841">
            <v>20</v>
          </cell>
          <cell r="L1841">
            <v>1</v>
          </cell>
        </row>
        <row r="1842">
          <cell r="B1842">
            <v>2022</v>
          </cell>
          <cell r="C1842">
            <v>3</v>
          </cell>
          <cell r="E1842" t="str">
            <v>KC</v>
          </cell>
          <cell r="I1842">
            <v>23</v>
          </cell>
          <cell r="J1842">
            <v>20</v>
          </cell>
          <cell r="L1842">
            <v>1</v>
          </cell>
        </row>
        <row r="1843">
          <cell r="B1843">
            <v>2022</v>
          </cell>
          <cell r="C1843">
            <v>5</v>
          </cell>
          <cell r="E1843" t="str">
            <v>KC</v>
          </cell>
          <cell r="I1843">
            <v>38</v>
          </cell>
          <cell r="J1843">
            <v>35</v>
          </cell>
          <cell r="L1843">
            <v>1</v>
          </cell>
        </row>
        <row r="1844">
          <cell r="B1844">
            <v>2023</v>
          </cell>
          <cell r="C1844">
            <v>1</v>
          </cell>
          <cell r="E1844" t="str">
            <v>KC</v>
          </cell>
          <cell r="I1844">
            <v>20</v>
          </cell>
          <cell r="J1844">
            <v>21</v>
          </cell>
          <cell r="L1844">
            <v>0</v>
          </cell>
        </row>
        <row r="1845">
          <cell r="B1845">
            <v>2023</v>
          </cell>
          <cell r="C1845">
            <v>2</v>
          </cell>
          <cell r="E1845" t="str">
            <v>KC</v>
          </cell>
          <cell r="I1845">
            <v>17</v>
          </cell>
          <cell r="J1845">
            <v>9</v>
          </cell>
          <cell r="L1845">
            <v>0</v>
          </cell>
        </row>
        <row r="1846">
          <cell r="B1846">
            <v>2023</v>
          </cell>
          <cell r="C1846">
            <v>3</v>
          </cell>
          <cell r="E1846" t="str">
            <v>KC</v>
          </cell>
          <cell r="I1846">
            <v>41</v>
          </cell>
          <cell r="J1846">
            <v>10</v>
          </cell>
          <cell r="L1846">
            <v>0</v>
          </cell>
        </row>
        <row r="1847">
          <cell r="B1847">
            <v>2023</v>
          </cell>
          <cell r="C1847">
            <v>4</v>
          </cell>
          <cell r="E1847" t="str">
            <v>KC</v>
          </cell>
          <cell r="I1847">
            <v>23</v>
          </cell>
          <cell r="J1847">
            <v>20</v>
          </cell>
          <cell r="L1847">
            <v>0</v>
          </cell>
        </row>
        <row r="1848">
          <cell r="B1848">
            <v>2023</v>
          </cell>
          <cell r="C1848">
            <v>5</v>
          </cell>
          <cell r="E1848" t="str">
            <v>KC</v>
          </cell>
          <cell r="I1848">
            <v>27</v>
          </cell>
          <cell r="J1848">
            <v>20</v>
          </cell>
          <cell r="L1848">
            <v>0</v>
          </cell>
        </row>
        <row r="1849">
          <cell r="B1849">
            <v>2023</v>
          </cell>
          <cell r="C1849">
            <v>6</v>
          </cell>
          <cell r="E1849" t="str">
            <v>KC</v>
          </cell>
          <cell r="I1849">
            <v>19</v>
          </cell>
          <cell r="J1849">
            <v>8</v>
          </cell>
          <cell r="L1849">
            <v>0</v>
          </cell>
        </row>
        <row r="1850">
          <cell r="B1850">
            <v>2023</v>
          </cell>
          <cell r="C1850">
            <v>7</v>
          </cell>
          <cell r="E1850" t="str">
            <v>KC</v>
          </cell>
          <cell r="I1850">
            <v>31</v>
          </cell>
          <cell r="J1850">
            <v>17</v>
          </cell>
          <cell r="L1850">
            <v>0</v>
          </cell>
        </row>
        <row r="1851">
          <cell r="B1851">
            <v>2023</v>
          </cell>
          <cell r="C1851">
            <v>8</v>
          </cell>
          <cell r="E1851" t="str">
            <v>KC</v>
          </cell>
          <cell r="I1851">
            <v>9</v>
          </cell>
          <cell r="J1851">
            <v>24</v>
          </cell>
          <cell r="L1851">
            <v>0</v>
          </cell>
        </row>
        <row r="1852">
          <cell r="B1852">
            <v>2023</v>
          </cell>
          <cell r="C1852">
            <v>9</v>
          </cell>
          <cell r="E1852" t="str">
            <v>KC</v>
          </cell>
          <cell r="I1852">
            <v>21</v>
          </cell>
          <cell r="J1852">
            <v>14</v>
          </cell>
          <cell r="L1852">
            <v>0</v>
          </cell>
        </row>
        <row r="1853">
          <cell r="B1853">
            <v>2023</v>
          </cell>
          <cell r="C1853">
            <v>11</v>
          </cell>
          <cell r="E1853" t="str">
            <v>KC</v>
          </cell>
          <cell r="I1853">
            <v>17</v>
          </cell>
          <cell r="J1853">
            <v>21</v>
          </cell>
          <cell r="L1853">
            <v>0</v>
          </cell>
        </row>
        <row r="1854">
          <cell r="B1854">
            <v>2023</v>
          </cell>
          <cell r="C1854">
            <v>12</v>
          </cell>
          <cell r="E1854" t="str">
            <v>KC</v>
          </cell>
          <cell r="I1854">
            <v>31</v>
          </cell>
          <cell r="J1854">
            <v>17</v>
          </cell>
          <cell r="L1854">
            <v>0</v>
          </cell>
        </row>
        <row r="1855">
          <cell r="B1855">
            <v>2023</v>
          </cell>
          <cell r="C1855">
            <v>13</v>
          </cell>
          <cell r="E1855" t="str">
            <v>KC</v>
          </cell>
          <cell r="I1855">
            <v>19</v>
          </cell>
          <cell r="J1855">
            <v>27</v>
          </cell>
          <cell r="L1855">
            <v>0</v>
          </cell>
        </row>
        <row r="1856">
          <cell r="B1856">
            <v>2023</v>
          </cell>
          <cell r="C1856">
            <v>14</v>
          </cell>
          <cell r="E1856" t="str">
            <v>KC</v>
          </cell>
          <cell r="I1856">
            <v>17</v>
          </cell>
          <cell r="J1856">
            <v>20</v>
          </cell>
          <cell r="L1856">
            <v>0</v>
          </cell>
        </row>
        <row r="1857">
          <cell r="B1857">
            <v>2023</v>
          </cell>
          <cell r="C1857">
            <v>15</v>
          </cell>
          <cell r="E1857" t="str">
            <v>KC</v>
          </cell>
          <cell r="I1857">
            <v>27</v>
          </cell>
          <cell r="J1857">
            <v>17</v>
          </cell>
          <cell r="L1857">
            <v>0</v>
          </cell>
        </row>
        <row r="1858">
          <cell r="B1858">
            <v>2023</v>
          </cell>
          <cell r="C1858">
            <v>16</v>
          </cell>
          <cell r="E1858" t="str">
            <v>KC</v>
          </cell>
          <cell r="I1858">
            <v>14</v>
          </cell>
          <cell r="J1858">
            <v>20</v>
          </cell>
          <cell r="L1858">
            <v>0</v>
          </cell>
        </row>
        <row r="1859">
          <cell r="B1859">
            <v>2023</v>
          </cell>
          <cell r="C1859">
            <v>17</v>
          </cell>
          <cell r="E1859" t="str">
            <v>KC</v>
          </cell>
          <cell r="I1859">
            <v>25</v>
          </cell>
          <cell r="J1859">
            <v>17</v>
          </cell>
          <cell r="L1859">
            <v>0</v>
          </cell>
        </row>
        <row r="1860">
          <cell r="B1860">
            <v>2023</v>
          </cell>
          <cell r="C1860">
            <v>18</v>
          </cell>
          <cell r="E1860" t="str">
            <v>KC</v>
          </cell>
          <cell r="I1860">
            <v>13</v>
          </cell>
          <cell r="J1860">
            <v>12</v>
          </cell>
          <cell r="L1860">
            <v>0</v>
          </cell>
        </row>
        <row r="1861">
          <cell r="B1861">
            <v>2023</v>
          </cell>
          <cell r="C1861">
            <v>1</v>
          </cell>
          <cell r="E1861" t="str">
            <v>KC</v>
          </cell>
          <cell r="I1861">
            <v>26</v>
          </cell>
          <cell r="J1861">
            <v>7</v>
          </cell>
          <cell r="L1861">
            <v>1</v>
          </cell>
        </row>
        <row r="1862">
          <cell r="B1862">
            <v>2023</v>
          </cell>
          <cell r="C1862">
            <v>2</v>
          </cell>
          <cell r="E1862" t="str">
            <v>KC</v>
          </cell>
          <cell r="I1862">
            <v>27</v>
          </cell>
          <cell r="J1862">
            <v>24</v>
          </cell>
          <cell r="L1862">
            <v>1</v>
          </cell>
        </row>
        <row r="1863">
          <cell r="B1863">
            <v>2023</v>
          </cell>
          <cell r="C1863">
            <v>3</v>
          </cell>
          <cell r="E1863" t="str">
            <v>KC</v>
          </cell>
          <cell r="I1863">
            <v>17</v>
          </cell>
          <cell r="J1863">
            <v>10</v>
          </cell>
          <cell r="L1863">
            <v>1</v>
          </cell>
        </row>
        <row r="1864">
          <cell r="B1864">
            <v>2023</v>
          </cell>
          <cell r="C1864">
            <v>5</v>
          </cell>
          <cell r="E1864" t="str">
            <v>KC</v>
          </cell>
          <cell r="I1864">
            <v>25</v>
          </cell>
          <cell r="J1864">
            <v>22</v>
          </cell>
          <cell r="L1864">
            <v>1</v>
          </cell>
        </row>
        <row r="1865">
          <cell r="B1865">
            <v>2024</v>
          </cell>
          <cell r="C1865">
            <v>1</v>
          </cell>
          <cell r="E1865" t="str">
            <v>KC</v>
          </cell>
          <cell r="I1865">
            <v>27</v>
          </cell>
          <cell r="J1865">
            <v>20</v>
          </cell>
          <cell r="L1865">
            <v>0</v>
          </cell>
        </row>
        <row r="1866">
          <cell r="B1866">
            <v>2024</v>
          </cell>
          <cell r="C1866">
            <v>2</v>
          </cell>
          <cell r="E1866" t="str">
            <v>KC</v>
          </cell>
          <cell r="I1866">
            <v>26</v>
          </cell>
          <cell r="J1866">
            <v>25</v>
          </cell>
          <cell r="L1866">
            <v>0</v>
          </cell>
        </row>
        <row r="1867">
          <cell r="B1867">
            <v>2024</v>
          </cell>
          <cell r="C1867">
            <v>3</v>
          </cell>
          <cell r="E1867" t="str">
            <v>KC</v>
          </cell>
          <cell r="I1867">
            <v>22</v>
          </cell>
          <cell r="J1867">
            <v>17</v>
          </cell>
          <cell r="L1867">
            <v>0</v>
          </cell>
        </row>
        <row r="1868">
          <cell r="B1868">
            <v>2024</v>
          </cell>
          <cell r="C1868">
            <v>4</v>
          </cell>
          <cell r="E1868" t="str">
            <v>KC</v>
          </cell>
          <cell r="I1868">
            <v>17</v>
          </cell>
          <cell r="J1868">
            <v>10</v>
          </cell>
          <cell r="L1868">
            <v>0</v>
          </cell>
        </row>
        <row r="1869">
          <cell r="B1869">
            <v>2024</v>
          </cell>
          <cell r="C1869">
            <v>5</v>
          </cell>
          <cell r="E1869" t="str">
            <v>KC</v>
          </cell>
          <cell r="I1869">
            <v>26</v>
          </cell>
          <cell r="J1869">
            <v>13</v>
          </cell>
          <cell r="L1869">
            <v>0</v>
          </cell>
        </row>
        <row r="1870">
          <cell r="B1870">
            <v>2024</v>
          </cell>
          <cell r="C1870">
            <v>7</v>
          </cell>
          <cell r="E1870" t="str">
            <v>KC</v>
          </cell>
          <cell r="I1870">
            <v>28</v>
          </cell>
          <cell r="J1870">
            <v>18</v>
          </cell>
          <cell r="L1870">
            <v>0</v>
          </cell>
        </row>
        <row r="1871">
          <cell r="B1871">
            <v>2024</v>
          </cell>
          <cell r="C1871">
            <v>8</v>
          </cell>
          <cell r="E1871" t="str">
            <v>KC</v>
          </cell>
          <cell r="I1871">
            <v>27</v>
          </cell>
          <cell r="J1871">
            <v>20</v>
          </cell>
          <cell r="L1871">
            <v>0</v>
          </cell>
        </row>
        <row r="1872">
          <cell r="B1872">
            <v>2024</v>
          </cell>
          <cell r="C1872">
            <v>9</v>
          </cell>
          <cell r="E1872" t="str">
            <v>KC</v>
          </cell>
          <cell r="I1872">
            <v>30</v>
          </cell>
          <cell r="J1872">
            <v>24</v>
          </cell>
          <cell r="L1872">
            <v>0</v>
          </cell>
        </row>
        <row r="1873">
          <cell r="B1873">
            <v>2024</v>
          </cell>
          <cell r="C1873">
            <v>10</v>
          </cell>
          <cell r="E1873" t="str">
            <v>KC</v>
          </cell>
          <cell r="I1873">
            <v>16</v>
          </cell>
          <cell r="J1873">
            <v>14</v>
          </cell>
          <cell r="L1873">
            <v>0</v>
          </cell>
        </row>
        <row r="1874">
          <cell r="B1874">
            <v>2024</v>
          </cell>
          <cell r="C1874">
            <v>11</v>
          </cell>
          <cell r="E1874" t="str">
            <v>KC</v>
          </cell>
          <cell r="I1874">
            <v>21</v>
          </cell>
          <cell r="J1874">
            <v>30</v>
          </cell>
          <cell r="L1874">
            <v>0</v>
          </cell>
        </row>
        <row r="1875">
          <cell r="B1875">
            <v>2024</v>
          </cell>
          <cell r="C1875">
            <v>12</v>
          </cell>
          <cell r="E1875" t="str">
            <v>KC</v>
          </cell>
          <cell r="I1875">
            <v>30</v>
          </cell>
          <cell r="J1875">
            <v>27</v>
          </cell>
          <cell r="L1875">
            <v>0</v>
          </cell>
        </row>
        <row r="1876">
          <cell r="B1876">
            <v>2024</v>
          </cell>
          <cell r="C1876">
            <v>13</v>
          </cell>
          <cell r="E1876" t="str">
            <v>KC</v>
          </cell>
          <cell r="I1876">
            <v>19</v>
          </cell>
          <cell r="J1876">
            <v>17</v>
          </cell>
          <cell r="L1876">
            <v>0</v>
          </cell>
        </row>
        <row r="1877">
          <cell r="B1877">
            <v>2024</v>
          </cell>
          <cell r="C1877">
            <v>14</v>
          </cell>
          <cell r="E1877" t="str">
            <v>KC</v>
          </cell>
          <cell r="I1877">
            <v>19</v>
          </cell>
          <cell r="J1877">
            <v>17</v>
          </cell>
          <cell r="L1877">
            <v>0</v>
          </cell>
        </row>
        <row r="1878">
          <cell r="B1878">
            <v>2024</v>
          </cell>
          <cell r="C1878">
            <v>15</v>
          </cell>
          <cell r="E1878" t="str">
            <v>KC</v>
          </cell>
          <cell r="I1878">
            <v>21</v>
          </cell>
          <cell r="J1878">
            <v>7</v>
          </cell>
          <cell r="L1878">
            <v>0</v>
          </cell>
        </row>
        <row r="1879">
          <cell r="B1879">
            <v>2024</v>
          </cell>
          <cell r="C1879">
            <v>16</v>
          </cell>
          <cell r="E1879" t="str">
            <v>KC</v>
          </cell>
          <cell r="I1879">
            <v>27</v>
          </cell>
          <cell r="J1879">
            <v>19</v>
          </cell>
          <cell r="L1879">
            <v>0</v>
          </cell>
        </row>
        <row r="1880">
          <cell r="B1880">
            <v>2024</v>
          </cell>
          <cell r="C1880">
            <v>17</v>
          </cell>
          <cell r="E1880" t="str">
            <v>KC</v>
          </cell>
          <cell r="I1880">
            <v>29</v>
          </cell>
          <cell r="J1880">
            <v>10</v>
          </cell>
          <cell r="L1880">
            <v>0</v>
          </cell>
        </row>
        <row r="1881">
          <cell r="B1881">
            <v>2024</v>
          </cell>
          <cell r="C1881">
            <v>18</v>
          </cell>
          <cell r="E1881" t="str">
            <v>KC</v>
          </cell>
          <cell r="I1881">
            <v>0</v>
          </cell>
          <cell r="J1881">
            <v>38</v>
          </cell>
          <cell r="L1881">
            <v>0</v>
          </cell>
        </row>
        <row r="1882">
          <cell r="B1882">
            <v>2024</v>
          </cell>
          <cell r="C1882">
            <v>2</v>
          </cell>
          <cell r="E1882" t="str">
            <v>KC</v>
          </cell>
          <cell r="I1882">
            <v>23</v>
          </cell>
          <cell r="J1882">
            <v>14</v>
          </cell>
          <cell r="L1882">
            <v>1</v>
          </cell>
        </row>
        <row r="1883">
          <cell r="B1883">
            <v>2024</v>
          </cell>
          <cell r="C1883">
            <v>3</v>
          </cell>
          <cell r="E1883" t="str">
            <v>KC</v>
          </cell>
          <cell r="I1883">
            <v>32</v>
          </cell>
          <cell r="J1883">
            <v>29</v>
          </cell>
          <cell r="L1883">
            <v>1</v>
          </cell>
        </row>
        <row r="1884">
          <cell r="B1884">
            <v>2024</v>
          </cell>
          <cell r="C1884">
            <v>5</v>
          </cell>
          <cell r="E1884" t="str">
            <v>KC</v>
          </cell>
          <cell r="I1884">
            <v>22</v>
          </cell>
          <cell r="J1884">
            <v>40</v>
          </cell>
          <cell r="L1884">
            <v>1</v>
          </cell>
        </row>
        <row r="1885">
          <cell r="B1885">
            <v>2025</v>
          </cell>
          <cell r="C1885">
            <v>1</v>
          </cell>
          <cell r="E1885" t="str">
            <v>KC</v>
          </cell>
          <cell r="I1885">
            <v>21</v>
          </cell>
          <cell r="J1885">
            <v>27</v>
          </cell>
          <cell r="L1885">
            <v>0</v>
          </cell>
        </row>
        <row r="1886">
          <cell r="B1886">
            <v>2025</v>
          </cell>
          <cell r="C1886">
            <v>2</v>
          </cell>
          <cell r="E1886" t="str">
            <v>KC</v>
          </cell>
          <cell r="I1886">
            <v>17</v>
          </cell>
          <cell r="J1886">
            <v>20</v>
          </cell>
          <cell r="L1886">
            <v>0</v>
          </cell>
        </row>
        <row r="1887">
          <cell r="B1887">
            <v>2025</v>
          </cell>
          <cell r="C1887">
            <v>3</v>
          </cell>
          <cell r="E1887" t="str">
            <v>KC</v>
          </cell>
          <cell r="I1887">
            <v>22</v>
          </cell>
          <cell r="J1887">
            <v>9</v>
          </cell>
          <cell r="L1887">
            <v>0</v>
          </cell>
        </row>
        <row r="1888">
          <cell r="B1888">
            <v>2025</v>
          </cell>
          <cell r="C1888">
            <v>4</v>
          </cell>
          <cell r="E1888" t="str">
            <v>KC</v>
          </cell>
          <cell r="I1888">
            <v>37</v>
          </cell>
          <cell r="J1888">
            <v>20</v>
          </cell>
          <cell r="L1888">
            <v>0</v>
          </cell>
        </row>
        <row r="1889">
          <cell r="B1889">
            <v>2025</v>
          </cell>
          <cell r="C1889">
            <v>5</v>
          </cell>
          <cell r="E1889" t="str">
            <v>KC</v>
          </cell>
          <cell r="I1889">
            <v>28</v>
          </cell>
          <cell r="J1889">
            <v>31</v>
          </cell>
          <cell r="L1889">
            <v>0</v>
          </cell>
        </row>
        <row r="1890">
          <cell r="B1890">
            <v>2025</v>
          </cell>
          <cell r="C1890">
            <v>6</v>
          </cell>
          <cell r="E1890" t="str">
            <v>KC</v>
          </cell>
          <cell r="I1890">
            <v>30</v>
          </cell>
          <cell r="J1890">
            <v>17</v>
          </cell>
          <cell r="L1890">
            <v>0</v>
          </cell>
        </row>
        <row r="1891">
          <cell r="B1891">
            <v>2025</v>
          </cell>
          <cell r="C1891">
            <v>7</v>
          </cell>
          <cell r="E1891" t="str">
            <v>KC</v>
          </cell>
          <cell r="I1891">
            <v>31</v>
          </cell>
          <cell r="J1891">
            <v>0</v>
          </cell>
          <cell r="L1891">
            <v>0</v>
          </cell>
        </row>
        <row r="1892">
          <cell r="B1892">
            <v>2025</v>
          </cell>
          <cell r="C1892">
            <v>8</v>
          </cell>
          <cell r="E1892" t="str">
            <v>KC</v>
          </cell>
          <cell r="I1892">
            <v>28</v>
          </cell>
          <cell r="J1892">
            <v>7</v>
          </cell>
          <cell r="L1892">
            <v>0</v>
          </cell>
        </row>
        <row r="1893">
          <cell r="B1893">
            <v>2025</v>
          </cell>
          <cell r="C1893">
            <v>9</v>
          </cell>
          <cell r="E1893" t="str">
            <v>KC</v>
          </cell>
          <cell r="I1893">
            <v>21</v>
          </cell>
          <cell r="J1893">
            <v>28</v>
          </cell>
          <cell r="L1893">
            <v>0</v>
          </cell>
        </row>
        <row r="1894">
          <cell r="B1894">
            <v>2025</v>
          </cell>
          <cell r="C1894">
            <v>11</v>
          </cell>
          <cell r="E1894" t="str">
            <v>KC</v>
          </cell>
          <cell r="I1894">
            <v>19</v>
          </cell>
          <cell r="J1894">
            <v>22</v>
          </cell>
          <cell r="L1894">
            <v>0</v>
          </cell>
        </row>
        <row r="1895">
          <cell r="B1895">
            <v>2025</v>
          </cell>
          <cell r="C1895">
            <v>12</v>
          </cell>
          <cell r="E1895" t="str">
            <v>KC</v>
          </cell>
          <cell r="I1895">
            <v>23</v>
          </cell>
          <cell r="J1895">
            <v>20</v>
          </cell>
          <cell r="L1895">
            <v>0</v>
          </cell>
        </row>
        <row r="1896">
          <cell r="B1896">
            <v>2025</v>
          </cell>
          <cell r="C1896">
            <v>13</v>
          </cell>
          <cell r="E1896" t="str">
            <v>KC</v>
          </cell>
          <cell r="I1896">
            <v>28</v>
          </cell>
          <cell r="J1896">
            <v>31</v>
          </cell>
          <cell r="L1896">
            <v>0</v>
          </cell>
        </row>
        <row r="1897">
          <cell r="B1897">
            <v>2025</v>
          </cell>
          <cell r="C1897">
            <v>14</v>
          </cell>
          <cell r="E1897" t="str">
            <v>KC</v>
          </cell>
          <cell r="I1897">
            <v>10</v>
          </cell>
          <cell r="J1897">
            <v>20</v>
          </cell>
          <cell r="L1897">
            <v>0</v>
          </cell>
        </row>
        <row r="1898">
          <cell r="B1898">
            <v>2025</v>
          </cell>
          <cell r="C1898">
            <v>15</v>
          </cell>
          <cell r="E1898" t="str">
            <v>KC</v>
          </cell>
          <cell r="I1898">
            <v>13</v>
          </cell>
          <cell r="J1898">
            <v>16</v>
          </cell>
          <cell r="L1898">
            <v>0</v>
          </cell>
        </row>
        <row r="1899">
          <cell r="B1899">
            <v>2025</v>
          </cell>
          <cell r="C1899">
            <v>16</v>
          </cell>
          <cell r="E1899" t="str">
            <v>KC</v>
          </cell>
          <cell r="I1899">
            <v>9</v>
          </cell>
          <cell r="J1899">
            <v>26</v>
          </cell>
          <cell r="L1899">
            <v>0</v>
          </cell>
        </row>
        <row r="1900">
          <cell r="B1900">
            <v>2025</v>
          </cell>
          <cell r="C1900">
            <v>17</v>
          </cell>
          <cell r="E1900" t="str">
            <v>KC</v>
          </cell>
          <cell r="I1900">
            <v>13</v>
          </cell>
          <cell r="J1900">
            <v>20</v>
          </cell>
          <cell r="L1900">
            <v>0</v>
          </cell>
        </row>
        <row r="1901">
          <cell r="B1901">
            <v>2025</v>
          </cell>
          <cell r="C1901">
            <v>18</v>
          </cell>
          <cell r="E1901" t="str">
            <v>KC</v>
          </cell>
          <cell r="I1901">
            <v>12</v>
          </cell>
          <cell r="J1901">
            <v>14</v>
          </cell>
          <cell r="L1901">
            <v>0</v>
          </cell>
        </row>
        <row r="1902">
          <cell r="B1902">
            <v>2026</v>
          </cell>
          <cell r="C1902">
            <v>1</v>
          </cell>
          <cell r="E1902" t="str">
            <v>KC</v>
          </cell>
          <cell r="I1902">
            <v>31</v>
          </cell>
          <cell r="J1902">
            <v>10</v>
          </cell>
          <cell r="L1902">
            <v>0</v>
          </cell>
        </row>
        <row r="1903">
          <cell r="B1903">
            <v>2026</v>
          </cell>
          <cell r="C1903">
            <v>2</v>
          </cell>
          <cell r="E1903" t="str">
            <v>KC</v>
          </cell>
          <cell r="I1903">
            <v>33</v>
          </cell>
          <cell r="J1903">
            <v>30</v>
          </cell>
          <cell r="L1903">
            <v>0</v>
          </cell>
        </row>
        <row r="1904">
          <cell r="B1904">
            <v>2026</v>
          </cell>
          <cell r="C1904">
            <v>3</v>
          </cell>
          <cell r="E1904" t="str">
            <v>KC</v>
          </cell>
          <cell r="I1904">
            <v>24</v>
          </cell>
          <cell r="J1904">
            <v>10</v>
          </cell>
          <cell r="L1904">
            <v>0</v>
          </cell>
        </row>
        <row r="1905">
          <cell r="B1905">
            <v>2026</v>
          </cell>
          <cell r="C1905">
            <v>4</v>
          </cell>
          <cell r="E1905" t="str">
            <v>KC</v>
          </cell>
          <cell r="I1905">
            <v>30</v>
          </cell>
          <cell r="J1905">
            <v>27</v>
          </cell>
          <cell r="L1905">
            <v>0</v>
          </cell>
        </row>
        <row r="1906">
          <cell r="B1906">
            <v>2026</v>
          </cell>
          <cell r="C1906">
            <v>6</v>
          </cell>
          <cell r="E1906" t="str">
            <v>KC</v>
          </cell>
          <cell r="I1906">
            <v>22</v>
          </cell>
          <cell r="J1906">
            <v>6</v>
          </cell>
          <cell r="L1906">
            <v>0</v>
          </cell>
        </row>
        <row r="1907">
          <cell r="B1907">
            <v>2026</v>
          </cell>
          <cell r="C1907">
            <v>7</v>
          </cell>
          <cell r="E1907" t="str">
            <v>KC</v>
          </cell>
          <cell r="L1907">
            <v>0</v>
          </cell>
        </row>
        <row r="1908">
          <cell r="B1908">
            <v>2018</v>
          </cell>
          <cell r="C1908">
            <v>1</v>
          </cell>
          <cell r="E1908" t="str">
            <v>DEN</v>
          </cell>
          <cell r="I1908">
            <v>27</v>
          </cell>
          <cell r="J1908">
            <v>24</v>
          </cell>
          <cell r="L1908">
            <v>0</v>
          </cell>
        </row>
        <row r="1909">
          <cell r="B1909">
            <v>2018</v>
          </cell>
          <cell r="C1909">
            <v>2</v>
          </cell>
          <cell r="E1909" t="str">
            <v>DEN</v>
          </cell>
          <cell r="I1909">
            <v>20</v>
          </cell>
          <cell r="J1909">
            <v>19</v>
          </cell>
          <cell r="L1909">
            <v>0</v>
          </cell>
        </row>
        <row r="1910">
          <cell r="B1910">
            <v>2018</v>
          </cell>
          <cell r="C1910">
            <v>3</v>
          </cell>
          <cell r="E1910" t="str">
            <v>DEN</v>
          </cell>
          <cell r="I1910">
            <v>14</v>
          </cell>
          <cell r="J1910">
            <v>27</v>
          </cell>
          <cell r="L1910">
            <v>0</v>
          </cell>
        </row>
        <row r="1911">
          <cell r="B1911">
            <v>2018</v>
          </cell>
          <cell r="C1911">
            <v>4</v>
          </cell>
          <cell r="E1911" t="str">
            <v>DEN</v>
          </cell>
          <cell r="I1911">
            <v>23</v>
          </cell>
          <cell r="J1911">
            <v>27</v>
          </cell>
          <cell r="L1911">
            <v>0</v>
          </cell>
        </row>
        <row r="1912">
          <cell r="B1912">
            <v>2018</v>
          </cell>
          <cell r="C1912">
            <v>5</v>
          </cell>
          <cell r="E1912" t="str">
            <v>DEN</v>
          </cell>
          <cell r="I1912">
            <v>16</v>
          </cell>
          <cell r="J1912">
            <v>34</v>
          </cell>
          <cell r="L1912">
            <v>0</v>
          </cell>
        </row>
        <row r="1913">
          <cell r="B1913">
            <v>2018</v>
          </cell>
          <cell r="C1913">
            <v>6</v>
          </cell>
          <cell r="E1913" t="str">
            <v>DEN</v>
          </cell>
          <cell r="I1913">
            <v>20</v>
          </cell>
          <cell r="J1913">
            <v>23</v>
          </cell>
          <cell r="L1913">
            <v>0</v>
          </cell>
        </row>
        <row r="1914">
          <cell r="B1914">
            <v>2018</v>
          </cell>
          <cell r="C1914">
            <v>7</v>
          </cell>
          <cell r="E1914" t="str">
            <v>DEN</v>
          </cell>
          <cell r="I1914">
            <v>45</v>
          </cell>
          <cell r="J1914">
            <v>10</v>
          </cell>
          <cell r="L1914">
            <v>0</v>
          </cell>
        </row>
        <row r="1915">
          <cell r="B1915">
            <v>2018</v>
          </cell>
          <cell r="C1915">
            <v>8</v>
          </cell>
          <cell r="E1915" t="str">
            <v>DEN</v>
          </cell>
          <cell r="I1915">
            <v>23</v>
          </cell>
          <cell r="J1915">
            <v>30</v>
          </cell>
          <cell r="L1915">
            <v>0</v>
          </cell>
        </row>
        <row r="1916">
          <cell r="B1916">
            <v>2018</v>
          </cell>
          <cell r="C1916">
            <v>9</v>
          </cell>
          <cell r="E1916" t="str">
            <v>DEN</v>
          </cell>
          <cell r="I1916">
            <v>17</v>
          </cell>
          <cell r="J1916">
            <v>19</v>
          </cell>
          <cell r="L1916">
            <v>0</v>
          </cell>
        </row>
        <row r="1917">
          <cell r="B1917">
            <v>2018</v>
          </cell>
          <cell r="C1917">
            <v>11</v>
          </cell>
          <cell r="E1917" t="str">
            <v>DEN</v>
          </cell>
          <cell r="I1917">
            <v>23</v>
          </cell>
          <cell r="J1917">
            <v>22</v>
          </cell>
          <cell r="L1917">
            <v>0</v>
          </cell>
        </row>
        <row r="1918">
          <cell r="B1918">
            <v>2018</v>
          </cell>
          <cell r="C1918">
            <v>12</v>
          </cell>
          <cell r="E1918" t="str">
            <v>DEN</v>
          </cell>
          <cell r="I1918">
            <v>24</v>
          </cell>
          <cell r="J1918">
            <v>17</v>
          </cell>
          <cell r="L1918">
            <v>0</v>
          </cell>
        </row>
        <row r="1919">
          <cell r="B1919">
            <v>2018</v>
          </cell>
          <cell r="C1919">
            <v>13</v>
          </cell>
          <cell r="E1919" t="str">
            <v>DEN</v>
          </cell>
          <cell r="I1919">
            <v>24</v>
          </cell>
          <cell r="J1919">
            <v>10</v>
          </cell>
          <cell r="L1919">
            <v>0</v>
          </cell>
        </row>
        <row r="1920">
          <cell r="B1920">
            <v>2018</v>
          </cell>
          <cell r="C1920">
            <v>14</v>
          </cell>
          <cell r="E1920" t="str">
            <v>DEN</v>
          </cell>
          <cell r="I1920">
            <v>14</v>
          </cell>
          <cell r="J1920">
            <v>20</v>
          </cell>
          <cell r="L1920">
            <v>0</v>
          </cell>
        </row>
        <row r="1921">
          <cell r="B1921">
            <v>2018</v>
          </cell>
          <cell r="C1921">
            <v>15</v>
          </cell>
          <cell r="E1921" t="str">
            <v>DEN</v>
          </cell>
          <cell r="I1921">
            <v>16</v>
          </cell>
          <cell r="J1921">
            <v>17</v>
          </cell>
          <cell r="L1921">
            <v>0</v>
          </cell>
        </row>
        <row r="1922">
          <cell r="B1922">
            <v>2018</v>
          </cell>
          <cell r="C1922">
            <v>16</v>
          </cell>
          <cell r="E1922" t="str">
            <v>DEN</v>
          </cell>
          <cell r="I1922">
            <v>14</v>
          </cell>
          <cell r="J1922">
            <v>27</v>
          </cell>
          <cell r="L1922">
            <v>0</v>
          </cell>
        </row>
        <row r="1923">
          <cell r="B1923">
            <v>2018</v>
          </cell>
          <cell r="C1923">
            <v>17</v>
          </cell>
          <cell r="E1923" t="str">
            <v>DEN</v>
          </cell>
          <cell r="I1923">
            <v>9</v>
          </cell>
          <cell r="J1923">
            <v>23</v>
          </cell>
          <cell r="L1923">
            <v>0</v>
          </cell>
        </row>
        <row r="1924">
          <cell r="B1924">
            <v>2019</v>
          </cell>
          <cell r="C1924">
            <v>1</v>
          </cell>
          <cell r="E1924" t="str">
            <v>DEN</v>
          </cell>
          <cell r="I1924">
            <v>16</v>
          </cell>
          <cell r="J1924">
            <v>24</v>
          </cell>
          <cell r="L1924">
            <v>0</v>
          </cell>
        </row>
        <row r="1925">
          <cell r="B1925">
            <v>2019</v>
          </cell>
          <cell r="C1925">
            <v>2</v>
          </cell>
          <cell r="E1925" t="str">
            <v>DEN</v>
          </cell>
          <cell r="I1925">
            <v>14</v>
          </cell>
          <cell r="J1925">
            <v>16</v>
          </cell>
          <cell r="L1925">
            <v>0</v>
          </cell>
        </row>
        <row r="1926">
          <cell r="B1926">
            <v>2019</v>
          </cell>
          <cell r="C1926">
            <v>3</v>
          </cell>
          <cell r="E1926" t="str">
            <v>DEN</v>
          </cell>
          <cell r="I1926">
            <v>16</v>
          </cell>
          <cell r="J1926">
            <v>27</v>
          </cell>
          <cell r="L1926">
            <v>0</v>
          </cell>
        </row>
        <row r="1927">
          <cell r="B1927">
            <v>2019</v>
          </cell>
          <cell r="C1927">
            <v>4</v>
          </cell>
          <cell r="E1927" t="str">
            <v>DEN</v>
          </cell>
          <cell r="I1927">
            <v>24</v>
          </cell>
          <cell r="J1927">
            <v>26</v>
          </cell>
          <cell r="L1927">
            <v>0</v>
          </cell>
        </row>
        <row r="1928">
          <cell r="B1928">
            <v>2019</v>
          </cell>
          <cell r="C1928">
            <v>5</v>
          </cell>
          <cell r="E1928" t="str">
            <v>DEN</v>
          </cell>
          <cell r="I1928">
            <v>20</v>
          </cell>
          <cell r="J1928">
            <v>13</v>
          </cell>
          <cell r="L1928">
            <v>0</v>
          </cell>
        </row>
        <row r="1929">
          <cell r="B1929">
            <v>2019</v>
          </cell>
          <cell r="C1929">
            <v>6</v>
          </cell>
          <cell r="E1929" t="str">
            <v>DEN</v>
          </cell>
          <cell r="I1929">
            <v>16</v>
          </cell>
          <cell r="J1929">
            <v>0</v>
          </cell>
          <cell r="L1929">
            <v>0</v>
          </cell>
        </row>
        <row r="1930">
          <cell r="B1930">
            <v>2019</v>
          </cell>
          <cell r="C1930">
            <v>7</v>
          </cell>
          <cell r="E1930" t="str">
            <v>DEN</v>
          </cell>
          <cell r="I1930">
            <v>6</v>
          </cell>
          <cell r="J1930">
            <v>30</v>
          </cell>
          <cell r="L1930">
            <v>0</v>
          </cell>
        </row>
        <row r="1931">
          <cell r="B1931">
            <v>2019</v>
          </cell>
          <cell r="C1931">
            <v>8</v>
          </cell>
          <cell r="E1931" t="str">
            <v>DEN</v>
          </cell>
          <cell r="I1931">
            <v>13</v>
          </cell>
          <cell r="J1931">
            <v>15</v>
          </cell>
          <cell r="L1931">
            <v>0</v>
          </cell>
        </row>
        <row r="1932">
          <cell r="B1932">
            <v>2019</v>
          </cell>
          <cell r="C1932">
            <v>9</v>
          </cell>
          <cell r="E1932" t="str">
            <v>DEN</v>
          </cell>
          <cell r="I1932">
            <v>24</v>
          </cell>
          <cell r="J1932">
            <v>19</v>
          </cell>
          <cell r="L1932">
            <v>0</v>
          </cell>
        </row>
        <row r="1933">
          <cell r="B1933">
            <v>2019</v>
          </cell>
          <cell r="C1933">
            <v>11</v>
          </cell>
          <cell r="E1933" t="str">
            <v>DEN</v>
          </cell>
          <cell r="I1933">
            <v>23</v>
          </cell>
          <cell r="J1933">
            <v>27</v>
          </cell>
          <cell r="L1933">
            <v>0</v>
          </cell>
        </row>
        <row r="1934">
          <cell r="B1934">
            <v>2019</v>
          </cell>
          <cell r="C1934">
            <v>12</v>
          </cell>
          <cell r="E1934" t="str">
            <v>DEN</v>
          </cell>
          <cell r="I1934">
            <v>3</v>
          </cell>
          <cell r="J1934">
            <v>20</v>
          </cell>
          <cell r="L1934">
            <v>0</v>
          </cell>
        </row>
        <row r="1935">
          <cell r="B1935">
            <v>2019</v>
          </cell>
          <cell r="C1935">
            <v>13</v>
          </cell>
          <cell r="E1935" t="str">
            <v>DEN</v>
          </cell>
          <cell r="I1935">
            <v>23</v>
          </cell>
          <cell r="J1935">
            <v>20</v>
          </cell>
          <cell r="L1935">
            <v>0</v>
          </cell>
        </row>
        <row r="1936">
          <cell r="B1936">
            <v>2019</v>
          </cell>
          <cell r="C1936">
            <v>14</v>
          </cell>
          <cell r="E1936" t="str">
            <v>DEN</v>
          </cell>
          <cell r="I1936">
            <v>38</v>
          </cell>
          <cell r="J1936">
            <v>24</v>
          </cell>
          <cell r="L1936">
            <v>0</v>
          </cell>
        </row>
        <row r="1937">
          <cell r="B1937">
            <v>2019</v>
          </cell>
          <cell r="C1937">
            <v>15</v>
          </cell>
          <cell r="E1937" t="str">
            <v>DEN</v>
          </cell>
          <cell r="I1937">
            <v>3</v>
          </cell>
          <cell r="J1937">
            <v>23</v>
          </cell>
          <cell r="L1937">
            <v>0</v>
          </cell>
        </row>
        <row r="1938">
          <cell r="B1938">
            <v>2019</v>
          </cell>
          <cell r="C1938">
            <v>16</v>
          </cell>
          <cell r="E1938" t="str">
            <v>DEN</v>
          </cell>
          <cell r="I1938">
            <v>27</v>
          </cell>
          <cell r="J1938">
            <v>17</v>
          </cell>
          <cell r="L1938">
            <v>0</v>
          </cell>
        </row>
        <row r="1939">
          <cell r="B1939">
            <v>2019</v>
          </cell>
          <cell r="C1939">
            <v>17</v>
          </cell>
          <cell r="E1939" t="str">
            <v>DEN</v>
          </cell>
          <cell r="I1939">
            <v>16</v>
          </cell>
          <cell r="J1939">
            <v>15</v>
          </cell>
          <cell r="L1939">
            <v>0</v>
          </cell>
        </row>
        <row r="1940">
          <cell r="B1940">
            <v>2020</v>
          </cell>
          <cell r="C1940">
            <v>1</v>
          </cell>
          <cell r="E1940" t="str">
            <v>DEN</v>
          </cell>
          <cell r="I1940">
            <v>14</v>
          </cell>
          <cell r="J1940">
            <v>16</v>
          </cell>
          <cell r="L1940">
            <v>0</v>
          </cell>
        </row>
        <row r="1941">
          <cell r="B1941">
            <v>2020</v>
          </cell>
          <cell r="C1941">
            <v>2</v>
          </cell>
          <cell r="E1941" t="str">
            <v>DEN</v>
          </cell>
          <cell r="I1941">
            <v>21</v>
          </cell>
          <cell r="J1941">
            <v>26</v>
          </cell>
          <cell r="L1941">
            <v>0</v>
          </cell>
        </row>
        <row r="1942">
          <cell r="B1942">
            <v>2020</v>
          </cell>
          <cell r="C1942">
            <v>3</v>
          </cell>
          <cell r="E1942" t="str">
            <v>DEN</v>
          </cell>
          <cell r="I1942">
            <v>10</v>
          </cell>
          <cell r="J1942">
            <v>28</v>
          </cell>
          <cell r="L1942">
            <v>0</v>
          </cell>
        </row>
        <row r="1943">
          <cell r="B1943">
            <v>2020</v>
          </cell>
          <cell r="C1943">
            <v>4</v>
          </cell>
          <cell r="E1943" t="str">
            <v>DEN</v>
          </cell>
          <cell r="I1943">
            <v>37</v>
          </cell>
          <cell r="J1943">
            <v>28</v>
          </cell>
          <cell r="L1943">
            <v>0</v>
          </cell>
        </row>
        <row r="1944">
          <cell r="B1944">
            <v>2020</v>
          </cell>
          <cell r="C1944">
            <v>6</v>
          </cell>
          <cell r="E1944" t="str">
            <v>DEN</v>
          </cell>
          <cell r="I1944">
            <v>18</v>
          </cell>
          <cell r="J1944">
            <v>12</v>
          </cell>
          <cell r="L1944">
            <v>0</v>
          </cell>
        </row>
        <row r="1945">
          <cell r="B1945">
            <v>2020</v>
          </cell>
          <cell r="C1945">
            <v>7</v>
          </cell>
          <cell r="E1945" t="str">
            <v>DEN</v>
          </cell>
          <cell r="I1945">
            <v>16</v>
          </cell>
          <cell r="J1945">
            <v>43</v>
          </cell>
          <cell r="L1945">
            <v>0</v>
          </cell>
        </row>
        <row r="1946">
          <cell r="B1946">
            <v>2020</v>
          </cell>
          <cell r="C1946">
            <v>8</v>
          </cell>
          <cell r="E1946" t="str">
            <v>DEN</v>
          </cell>
          <cell r="I1946">
            <v>31</v>
          </cell>
          <cell r="J1946">
            <v>30</v>
          </cell>
          <cell r="L1946">
            <v>0</v>
          </cell>
        </row>
        <row r="1947">
          <cell r="B1947">
            <v>2020</v>
          </cell>
          <cell r="C1947">
            <v>9</v>
          </cell>
          <cell r="E1947" t="str">
            <v>DEN</v>
          </cell>
          <cell r="I1947">
            <v>27</v>
          </cell>
          <cell r="J1947">
            <v>34</v>
          </cell>
          <cell r="L1947">
            <v>0</v>
          </cell>
        </row>
        <row r="1948">
          <cell r="B1948">
            <v>2020</v>
          </cell>
          <cell r="C1948">
            <v>10</v>
          </cell>
          <cell r="E1948" t="str">
            <v>DEN</v>
          </cell>
          <cell r="I1948">
            <v>12</v>
          </cell>
          <cell r="J1948">
            <v>37</v>
          </cell>
          <cell r="L1948">
            <v>0</v>
          </cell>
        </row>
        <row r="1949">
          <cell r="B1949">
            <v>2020</v>
          </cell>
          <cell r="C1949">
            <v>11</v>
          </cell>
          <cell r="E1949" t="str">
            <v>DEN</v>
          </cell>
          <cell r="I1949">
            <v>20</v>
          </cell>
          <cell r="J1949">
            <v>13</v>
          </cell>
          <cell r="L1949">
            <v>0</v>
          </cell>
        </row>
        <row r="1950">
          <cell r="B1950">
            <v>2020</v>
          </cell>
          <cell r="C1950">
            <v>12</v>
          </cell>
          <cell r="E1950" t="str">
            <v>DEN</v>
          </cell>
          <cell r="I1950">
            <v>3</v>
          </cell>
          <cell r="J1950">
            <v>31</v>
          </cell>
          <cell r="L1950">
            <v>0</v>
          </cell>
        </row>
        <row r="1951">
          <cell r="B1951">
            <v>2020</v>
          </cell>
          <cell r="C1951">
            <v>13</v>
          </cell>
          <cell r="E1951" t="str">
            <v>DEN</v>
          </cell>
          <cell r="I1951">
            <v>16</v>
          </cell>
          <cell r="J1951">
            <v>22</v>
          </cell>
          <cell r="L1951">
            <v>0</v>
          </cell>
        </row>
        <row r="1952">
          <cell r="B1952">
            <v>2020</v>
          </cell>
          <cell r="C1952">
            <v>14</v>
          </cell>
          <cell r="E1952" t="str">
            <v>DEN</v>
          </cell>
          <cell r="I1952">
            <v>32</v>
          </cell>
          <cell r="J1952">
            <v>27</v>
          </cell>
          <cell r="L1952">
            <v>0</v>
          </cell>
        </row>
        <row r="1953">
          <cell r="B1953">
            <v>2020</v>
          </cell>
          <cell r="C1953">
            <v>15</v>
          </cell>
          <cell r="E1953" t="str">
            <v>DEN</v>
          </cell>
          <cell r="I1953">
            <v>19</v>
          </cell>
          <cell r="J1953">
            <v>48</v>
          </cell>
          <cell r="L1953">
            <v>0</v>
          </cell>
        </row>
        <row r="1954">
          <cell r="B1954">
            <v>2020</v>
          </cell>
          <cell r="C1954">
            <v>16</v>
          </cell>
          <cell r="E1954" t="str">
            <v>DEN</v>
          </cell>
          <cell r="I1954">
            <v>16</v>
          </cell>
          <cell r="J1954">
            <v>19</v>
          </cell>
          <cell r="L1954">
            <v>0</v>
          </cell>
        </row>
        <row r="1955">
          <cell r="B1955">
            <v>2020</v>
          </cell>
          <cell r="C1955">
            <v>17</v>
          </cell>
          <cell r="E1955" t="str">
            <v>DEN</v>
          </cell>
          <cell r="I1955">
            <v>31</v>
          </cell>
          <cell r="J1955">
            <v>32</v>
          </cell>
          <cell r="L1955">
            <v>0</v>
          </cell>
        </row>
        <row r="1956">
          <cell r="B1956">
            <v>2021</v>
          </cell>
          <cell r="C1956">
            <v>1</v>
          </cell>
          <cell r="E1956" t="str">
            <v>DEN</v>
          </cell>
          <cell r="I1956">
            <v>27</v>
          </cell>
          <cell r="J1956">
            <v>13</v>
          </cell>
          <cell r="L1956">
            <v>0</v>
          </cell>
        </row>
        <row r="1957">
          <cell r="B1957">
            <v>2021</v>
          </cell>
          <cell r="C1957">
            <v>2</v>
          </cell>
          <cell r="E1957" t="str">
            <v>DEN</v>
          </cell>
          <cell r="I1957">
            <v>23</v>
          </cell>
          <cell r="J1957">
            <v>13</v>
          </cell>
          <cell r="L1957">
            <v>0</v>
          </cell>
        </row>
        <row r="1958">
          <cell r="B1958">
            <v>2021</v>
          </cell>
          <cell r="C1958">
            <v>3</v>
          </cell>
          <cell r="E1958" t="str">
            <v>DEN</v>
          </cell>
          <cell r="I1958">
            <v>26</v>
          </cell>
          <cell r="J1958">
            <v>0</v>
          </cell>
          <cell r="L1958">
            <v>0</v>
          </cell>
        </row>
        <row r="1959">
          <cell r="B1959">
            <v>2021</v>
          </cell>
          <cell r="C1959">
            <v>4</v>
          </cell>
          <cell r="E1959" t="str">
            <v>DEN</v>
          </cell>
          <cell r="I1959">
            <v>7</v>
          </cell>
          <cell r="J1959">
            <v>23</v>
          </cell>
          <cell r="L1959">
            <v>0</v>
          </cell>
        </row>
        <row r="1960">
          <cell r="B1960">
            <v>2021</v>
          </cell>
          <cell r="C1960">
            <v>5</v>
          </cell>
          <cell r="E1960" t="str">
            <v>DEN</v>
          </cell>
          <cell r="I1960">
            <v>19</v>
          </cell>
          <cell r="J1960">
            <v>27</v>
          </cell>
          <cell r="L1960">
            <v>0</v>
          </cell>
        </row>
        <row r="1961">
          <cell r="B1961">
            <v>2021</v>
          </cell>
          <cell r="C1961">
            <v>6</v>
          </cell>
          <cell r="E1961" t="str">
            <v>DEN</v>
          </cell>
          <cell r="I1961">
            <v>24</v>
          </cell>
          <cell r="J1961">
            <v>34</v>
          </cell>
          <cell r="L1961">
            <v>0</v>
          </cell>
        </row>
        <row r="1962">
          <cell r="B1962">
            <v>2021</v>
          </cell>
          <cell r="C1962">
            <v>7</v>
          </cell>
          <cell r="E1962" t="str">
            <v>DEN</v>
          </cell>
          <cell r="I1962">
            <v>14</v>
          </cell>
          <cell r="J1962">
            <v>17</v>
          </cell>
          <cell r="L1962">
            <v>0</v>
          </cell>
        </row>
        <row r="1963">
          <cell r="B1963">
            <v>2021</v>
          </cell>
          <cell r="C1963">
            <v>8</v>
          </cell>
          <cell r="E1963" t="str">
            <v>DEN</v>
          </cell>
          <cell r="I1963">
            <v>17</v>
          </cell>
          <cell r="J1963">
            <v>10</v>
          </cell>
          <cell r="L1963">
            <v>0</v>
          </cell>
        </row>
        <row r="1964">
          <cell r="B1964">
            <v>2021</v>
          </cell>
          <cell r="C1964">
            <v>9</v>
          </cell>
          <cell r="E1964" t="str">
            <v>DEN</v>
          </cell>
          <cell r="I1964">
            <v>30</v>
          </cell>
          <cell r="J1964">
            <v>16</v>
          </cell>
          <cell r="L1964">
            <v>0</v>
          </cell>
        </row>
        <row r="1965">
          <cell r="B1965">
            <v>2021</v>
          </cell>
          <cell r="C1965">
            <v>10</v>
          </cell>
          <cell r="E1965" t="str">
            <v>DEN</v>
          </cell>
          <cell r="I1965">
            <v>13</v>
          </cell>
          <cell r="J1965">
            <v>30</v>
          </cell>
          <cell r="L1965">
            <v>0</v>
          </cell>
        </row>
        <row r="1966">
          <cell r="B1966">
            <v>2021</v>
          </cell>
          <cell r="C1966">
            <v>12</v>
          </cell>
          <cell r="E1966" t="str">
            <v>DEN</v>
          </cell>
          <cell r="I1966">
            <v>28</v>
          </cell>
          <cell r="J1966">
            <v>13</v>
          </cell>
          <cell r="L1966">
            <v>0</v>
          </cell>
        </row>
        <row r="1967">
          <cell r="B1967">
            <v>2021</v>
          </cell>
          <cell r="C1967">
            <v>13</v>
          </cell>
          <cell r="E1967" t="str">
            <v>DEN</v>
          </cell>
          <cell r="I1967">
            <v>9</v>
          </cell>
          <cell r="J1967">
            <v>22</v>
          </cell>
          <cell r="L1967">
            <v>0</v>
          </cell>
        </row>
        <row r="1968">
          <cell r="B1968">
            <v>2021</v>
          </cell>
          <cell r="C1968">
            <v>14</v>
          </cell>
          <cell r="E1968" t="str">
            <v>DEN</v>
          </cell>
          <cell r="I1968">
            <v>38</v>
          </cell>
          <cell r="J1968">
            <v>10</v>
          </cell>
          <cell r="L1968">
            <v>0</v>
          </cell>
        </row>
        <row r="1969">
          <cell r="B1969">
            <v>2021</v>
          </cell>
          <cell r="C1969">
            <v>15</v>
          </cell>
          <cell r="E1969" t="str">
            <v>DEN</v>
          </cell>
          <cell r="I1969">
            <v>10</v>
          </cell>
          <cell r="J1969">
            <v>15</v>
          </cell>
          <cell r="L1969">
            <v>0</v>
          </cell>
        </row>
        <row r="1970">
          <cell r="B1970">
            <v>2021</v>
          </cell>
          <cell r="C1970">
            <v>16</v>
          </cell>
          <cell r="E1970" t="str">
            <v>DEN</v>
          </cell>
          <cell r="I1970">
            <v>13</v>
          </cell>
          <cell r="J1970">
            <v>17</v>
          </cell>
          <cell r="L1970">
            <v>0</v>
          </cell>
        </row>
        <row r="1971">
          <cell r="B1971">
            <v>2021</v>
          </cell>
          <cell r="C1971">
            <v>17</v>
          </cell>
          <cell r="E1971" t="str">
            <v>DEN</v>
          </cell>
          <cell r="I1971">
            <v>13</v>
          </cell>
          <cell r="J1971">
            <v>34</v>
          </cell>
          <cell r="L1971">
            <v>0</v>
          </cell>
        </row>
        <row r="1972">
          <cell r="B1972">
            <v>2021</v>
          </cell>
          <cell r="C1972">
            <v>18</v>
          </cell>
          <cell r="E1972" t="str">
            <v>DEN</v>
          </cell>
          <cell r="I1972">
            <v>24</v>
          </cell>
          <cell r="J1972">
            <v>28</v>
          </cell>
          <cell r="L1972">
            <v>0</v>
          </cell>
        </row>
        <row r="1973">
          <cell r="B1973">
            <v>2022</v>
          </cell>
          <cell r="C1973">
            <v>1</v>
          </cell>
          <cell r="E1973" t="str">
            <v>DEN</v>
          </cell>
          <cell r="I1973">
            <v>16</v>
          </cell>
          <cell r="J1973">
            <v>17</v>
          </cell>
          <cell r="L1973">
            <v>0</v>
          </cell>
        </row>
        <row r="1974">
          <cell r="B1974">
            <v>2022</v>
          </cell>
          <cell r="C1974">
            <v>2</v>
          </cell>
          <cell r="E1974" t="str">
            <v>DEN</v>
          </cell>
          <cell r="I1974">
            <v>16</v>
          </cell>
          <cell r="J1974">
            <v>9</v>
          </cell>
          <cell r="L1974">
            <v>0</v>
          </cell>
        </row>
        <row r="1975">
          <cell r="B1975">
            <v>2022</v>
          </cell>
          <cell r="C1975">
            <v>3</v>
          </cell>
          <cell r="E1975" t="str">
            <v>DEN</v>
          </cell>
          <cell r="I1975">
            <v>11</v>
          </cell>
          <cell r="J1975">
            <v>10</v>
          </cell>
          <cell r="L1975">
            <v>0</v>
          </cell>
        </row>
        <row r="1976">
          <cell r="B1976">
            <v>2022</v>
          </cell>
          <cell r="C1976">
            <v>4</v>
          </cell>
          <cell r="E1976" t="str">
            <v>DEN</v>
          </cell>
          <cell r="I1976">
            <v>23</v>
          </cell>
          <cell r="J1976">
            <v>32</v>
          </cell>
          <cell r="L1976">
            <v>0</v>
          </cell>
        </row>
        <row r="1977">
          <cell r="B1977">
            <v>2022</v>
          </cell>
          <cell r="C1977">
            <v>5</v>
          </cell>
          <cell r="E1977" t="str">
            <v>DEN</v>
          </cell>
          <cell r="I1977">
            <v>9</v>
          </cell>
          <cell r="J1977">
            <v>12</v>
          </cell>
          <cell r="L1977">
            <v>0</v>
          </cell>
        </row>
        <row r="1978">
          <cell r="B1978">
            <v>2022</v>
          </cell>
          <cell r="C1978">
            <v>6</v>
          </cell>
          <cell r="E1978" t="str">
            <v>DEN</v>
          </cell>
          <cell r="I1978">
            <v>16</v>
          </cell>
          <cell r="J1978">
            <v>19</v>
          </cell>
          <cell r="L1978">
            <v>0</v>
          </cell>
        </row>
        <row r="1979">
          <cell r="B1979">
            <v>2022</v>
          </cell>
          <cell r="C1979">
            <v>7</v>
          </cell>
          <cell r="E1979" t="str">
            <v>DEN</v>
          </cell>
          <cell r="I1979">
            <v>9</v>
          </cell>
          <cell r="J1979">
            <v>16</v>
          </cell>
          <cell r="L1979">
            <v>0</v>
          </cell>
        </row>
        <row r="1980">
          <cell r="B1980">
            <v>2022</v>
          </cell>
          <cell r="C1980">
            <v>8</v>
          </cell>
          <cell r="E1980" t="str">
            <v>DEN</v>
          </cell>
          <cell r="I1980">
            <v>21</v>
          </cell>
          <cell r="J1980">
            <v>17</v>
          </cell>
          <cell r="L1980">
            <v>0</v>
          </cell>
        </row>
        <row r="1981">
          <cell r="B1981">
            <v>2022</v>
          </cell>
          <cell r="C1981">
            <v>10</v>
          </cell>
          <cell r="E1981" t="str">
            <v>DEN</v>
          </cell>
          <cell r="I1981">
            <v>10</v>
          </cell>
          <cell r="J1981">
            <v>17</v>
          </cell>
          <cell r="L1981">
            <v>0</v>
          </cell>
        </row>
        <row r="1982">
          <cell r="B1982">
            <v>2022</v>
          </cell>
          <cell r="C1982">
            <v>11</v>
          </cell>
          <cell r="E1982" t="str">
            <v>DEN</v>
          </cell>
          <cell r="I1982">
            <v>16</v>
          </cell>
          <cell r="J1982">
            <v>22</v>
          </cell>
          <cell r="L1982">
            <v>0</v>
          </cell>
        </row>
        <row r="1983">
          <cell r="B1983">
            <v>2022</v>
          </cell>
          <cell r="C1983">
            <v>12</v>
          </cell>
          <cell r="E1983" t="str">
            <v>DEN</v>
          </cell>
          <cell r="I1983">
            <v>10</v>
          </cell>
          <cell r="J1983">
            <v>23</v>
          </cell>
          <cell r="L1983">
            <v>0</v>
          </cell>
        </row>
        <row r="1984">
          <cell r="B1984">
            <v>2022</v>
          </cell>
          <cell r="C1984">
            <v>13</v>
          </cell>
          <cell r="E1984" t="str">
            <v>DEN</v>
          </cell>
          <cell r="I1984">
            <v>9</v>
          </cell>
          <cell r="J1984">
            <v>10</v>
          </cell>
          <cell r="L1984">
            <v>0</v>
          </cell>
        </row>
        <row r="1985">
          <cell r="B1985">
            <v>2022</v>
          </cell>
          <cell r="C1985">
            <v>14</v>
          </cell>
          <cell r="E1985" t="str">
            <v>DEN</v>
          </cell>
          <cell r="I1985">
            <v>28</v>
          </cell>
          <cell r="J1985">
            <v>34</v>
          </cell>
          <cell r="L1985">
            <v>0</v>
          </cell>
        </row>
        <row r="1986">
          <cell r="B1986">
            <v>2022</v>
          </cell>
          <cell r="C1986">
            <v>15</v>
          </cell>
          <cell r="E1986" t="str">
            <v>DEN</v>
          </cell>
          <cell r="I1986">
            <v>24</v>
          </cell>
          <cell r="J1986">
            <v>15</v>
          </cell>
          <cell r="L1986">
            <v>0</v>
          </cell>
        </row>
        <row r="1987">
          <cell r="B1987">
            <v>2022</v>
          </cell>
          <cell r="C1987">
            <v>16</v>
          </cell>
          <cell r="E1987" t="str">
            <v>DEN</v>
          </cell>
          <cell r="I1987">
            <v>14</v>
          </cell>
          <cell r="J1987">
            <v>51</v>
          </cell>
          <cell r="L1987">
            <v>0</v>
          </cell>
        </row>
        <row r="1988">
          <cell r="B1988">
            <v>2022</v>
          </cell>
          <cell r="C1988">
            <v>17</v>
          </cell>
          <cell r="E1988" t="str">
            <v>DEN</v>
          </cell>
          <cell r="I1988">
            <v>24</v>
          </cell>
          <cell r="J1988">
            <v>27</v>
          </cell>
          <cell r="L1988">
            <v>0</v>
          </cell>
        </row>
        <row r="1989">
          <cell r="B1989">
            <v>2022</v>
          </cell>
          <cell r="C1989">
            <v>18</v>
          </cell>
          <cell r="E1989" t="str">
            <v>DEN</v>
          </cell>
          <cell r="I1989">
            <v>31</v>
          </cell>
          <cell r="J1989">
            <v>28</v>
          </cell>
          <cell r="L1989">
            <v>0</v>
          </cell>
        </row>
        <row r="1990">
          <cell r="B1990">
            <v>2023</v>
          </cell>
          <cell r="C1990">
            <v>1</v>
          </cell>
          <cell r="E1990" t="str">
            <v>DEN</v>
          </cell>
          <cell r="I1990">
            <v>16</v>
          </cell>
          <cell r="J1990">
            <v>17</v>
          </cell>
          <cell r="L1990">
            <v>0</v>
          </cell>
        </row>
        <row r="1991">
          <cell r="B1991">
            <v>2023</v>
          </cell>
          <cell r="C1991">
            <v>2</v>
          </cell>
          <cell r="E1991" t="str">
            <v>DEN</v>
          </cell>
          <cell r="I1991">
            <v>33</v>
          </cell>
          <cell r="J1991">
            <v>35</v>
          </cell>
          <cell r="L1991">
            <v>0</v>
          </cell>
        </row>
        <row r="1992">
          <cell r="B1992">
            <v>2023</v>
          </cell>
          <cell r="C1992">
            <v>3</v>
          </cell>
          <cell r="E1992" t="str">
            <v>DEN</v>
          </cell>
          <cell r="I1992">
            <v>20</v>
          </cell>
          <cell r="J1992">
            <v>70</v>
          </cell>
          <cell r="L1992">
            <v>0</v>
          </cell>
        </row>
        <row r="1993">
          <cell r="B1993">
            <v>2023</v>
          </cell>
          <cell r="C1993">
            <v>4</v>
          </cell>
          <cell r="E1993" t="str">
            <v>DEN</v>
          </cell>
          <cell r="I1993">
            <v>31</v>
          </cell>
          <cell r="J1993">
            <v>28</v>
          </cell>
          <cell r="L1993">
            <v>0</v>
          </cell>
        </row>
        <row r="1994">
          <cell r="B1994">
            <v>2023</v>
          </cell>
          <cell r="C1994">
            <v>5</v>
          </cell>
          <cell r="E1994" t="str">
            <v>DEN</v>
          </cell>
          <cell r="I1994">
            <v>21</v>
          </cell>
          <cell r="J1994">
            <v>31</v>
          </cell>
          <cell r="L1994">
            <v>0</v>
          </cell>
        </row>
        <row r="1995">
          <cell r="B1995">
            <v>2023</v>
          </cell>
          <cell r="C1995">
            <v>6</v>
          </cell>
          <cell r="E1995" t="str">
            <v>DEN</v>
          </cell>
          <cell r="I1995">
            <v>8</v>
          </cell>
          <cell r="J1995">
            <v>19</v>
          </cell>
          <cell r="L1995">
            <v>0</v>
          </cell>
        </row>
        <row r="1996">
          <cell r="B1996">
            <v>2023</v>
          </cell>
          <cell r="C1996">
            <v>7</v>
          </cell>
          <cell r="E1996" t="str">
            <v>DEN</v>
          </cell>
          <cell r="I1996">
            <v>19</v>
          </cell>
          <cell r="J1996">
            <v>17</v>
          </cell>
          <cell r="L1996">
            <v>0</v>
          </cell>
        </row>
        <row r="1997">
          <cell r="B1997">
            <v>2023</v>
          </cell>
          <cell r="C1997">
            <v>8</v>
          </cell>
          <cell r="E1997" t="str">
            <v>DEN</v>
          </cell>
          <cell r="I1997">
            <v>24</v>
          </cell>
          <cell r="J1997">
            <v>9</v>
          </cell>
          <cell r="L1997">
            <v>0</v>
          </cell>
        </row>
        <row r="1998">
          <cell r="B1998">
            <v>2023</v>
          </cell>
          <cell r="C1998">
            <v>10</v>
          </cell>
          <cell r="E1998" t="str">
            <v>DEN</v>
          </cell>
          <cell r="I1998">
            <v>24</v>
          </cell>
          <cell r="J1998">
            <v>22</v>
          </cell>
          <cell r="L1998">
            <v>0</v>
          </cell>
        </row>
        <row r="1999">
          <cell r="B1999">
            <v>2023</v>
          </cell>
          <cell r="C1999">
            <v>11</v>
          </cell>
          <cell r="E1999" t="str">
            <v>DEN</v>
          </cell>
          <cell r="I1999">
            <v>21</v>
          </cell>
          <cell r="J1999">
            <v>20</v>
          </cell>
          <cell r="L1999">
            <v>0</v>
          </cell>
        </row>
        <row r="2000">
          <cell r="B2000">
            <v>2023</v>
          </cell>
          <cell r="C2000">
            <v>12</v>
          </cell>
          <cell r="E2000" t="str">
            <v>DEN</v>
          </cell>
          <cell r="I2000">
            <v>29</v>
          </cell>
          <cell r="J2000">
            <v>12</v>
          </cell>
          <cell r="L2000">
            <v>0</v>
          </cell>
        </row>
        <row r="2001">
          <cell r="B2001">
            <v>2023</v>
          </cell>
          <cell r="C2001">
            <v>13</v>
          </cell>
          <cell r="E2001" t="str">
            <v>DEN</v>
          </cell>
          <cell r="I2001">
            <v>17</v>
          </cell>
          <cell r="J2001">
            <v>22</v>
          </cell>
          <cell r="L2001">
            <v>0</v>
          </cell>
        </row>
        <row r="2002">
          <cell r="B2002">
            <v>2023</v>
          </cell>
          <cell r="C2002">
            <v>14</v>
          </cell>
          <cell r="E2002" t="str">
            <v>DEN</v>
          </cell>
          <cell r="I2002">
            <v>24</v>
          </cell>
          <cell r="J2002">
            <v>7</v>
          </cell>
          <cell r="L2002">
            <v>0</v>
          </cell>
        </row>
        <row r="2003">
          <cell r="B2003">
            <v>2023</v>
          </cell>
          <cell r="C2003">
            <v>15</v>
          </cell>
          <cell r="E2003" t="str">
            <v>DEN</v>
          </cell>
          <cell r="I2003">
            <v>17</v>
          </cell>
          <cell r="J2003">
            <v>42</v>
          </cell>
          <cell r="L2003">
            <v>0</v>
          </cell>
        </row>
        <row r="2004">
          <cell r="B2004">
            <v>2023</v>
          </cell>
          <cell r="C2004">
            <v>16</v>
          </cell>
          <cell r="E2004" t="str">
            <v>DEN</v>
          </cell>
          <cell r="I2004">
            <v>23</v>
          </cell>
          <cell r="J2004">
            <v>26</v>
          </cell>
          <cell r="L2004">
            <v>0</v>
          </cell>
        </row>
        <row r="2005">
          <cell r="B2005">
            <v>2023</v>
          </cell>
          <cell r="C2005">
            <v>17</v>
          </cell>
          <cell r="E2005" t="str">
            <v>DEN</v>
          </cell>
          <cell r="I2005">
            <v>16</v>
          </cell>
          <cell r="J2005">
            <v>9</v>
          </cell>
          <cell r="L2005">
            <v>0</v>
          </cell>
        </row>
        <row r="2006">
          <cell r="B2006">
            <v>2023</v>
          </cell>
          <cell r="C2006">
            <v>18</v>
          </cell>
          <cell r="E2006" t="str">
            <v>DEN</v>
          </cell>
          <cell r="I2006">
            <v>14</v>
          </cell>
          <cell r="J2006">
            <v>27</v>
          </cell>
          <cell r="L2006">
            <v>0</v>
          </cell>
        </row>
        <row r="2007">
          <cell r="B2007">
            <v>2024</v>
          </cell>
          <cell r="C2007">
            <v>1</v>
          </cell>
          <cell r="E2007" t="str">
            <v>DEN</v>
          </cell>
          <cell r="I2007">
            <v>20</v>
          </cell>
          <cell r="J2007">
            <v>26</v>
          </cell>
          <cell r="L2007">
            <v>0</v>
          </cell>
        </row>
        <row r="2008">
          <cell r="B2008">
            <v>2024</v>
          </cell>
          <cell r="C2008">
            <v>2</v>
          </cell>
          <cell r="E2008" t="str">
            <v>DEN</v>
          </cell>
          <cell r="I2008">
            <v>6</v>
          </cell>
          <cell r="J2008">
            <v>13</v>
          </cell>
          <cell r="L2008">
            <v>0</v>
          </cell>
        </row>
        <row r="2009">
          <cell r="B2009">
            <v>2024</v>
          </cell>
          <cell r="C2009">
            <v>3</v>
          </cell>
          <cell r="E2009" t="str">
            <v>DEN</v>
          </cell>
          <cell r="I2009">
            <v>26</v>
          </cell>
          <cell r="J2009">
            <v>7</v>
          </cell>
          <cell r="L2009">
            <v>0</v>
          </cell>
        </row>
        <row r="2010">
          <cell r="B2010">
            <v>2024</v>
          </cell>
          <cell r="C2010">
            <v>4</v>
          </cell>
          <cell r="E2010" t="str">
            <v>DEN</v>
          </cell>
          <cell r="I2010">
            <v>10</v>
          </cell>
          <cell r="J2010">
            <v>9</v>
          </cell>
          <cell r="L2010">
            <v>0</v>
          </cell>
        </row>
        <row r="2011">
          <cell r="B2011">
            <v>2024</v>
          </cell>
          <cell r="C2011">
            <v>5</v>
          </cell>
          <cell r="E2011" t="str">
            <v>DEN</v>
          </cell>
          <cell r="I2011">
            <v>34</v>
          </cell>
          <cell r="J2011">
            <v>18</v>
          </cell>
          <cell r="L2011">
            <v>0</v>
          </cell>
        </row>
        <row r="2012">
          <cell r="B2012">
            <v>2024</v>
          </cell>
          <cell r="C2012">
            <v>6</v>
          </cell>
          <cell r="E2012" t="str">
            <v>DEN</v>
          </cell>
          <cell r="I2012">
            <v>16</v>
          </cell>
          <cell r="J2012">
            <v>23</v>
          </cell>
          <cell r="L2012">
            <v>0</v>
          </cell>
        </row>
        <row r="2013">
          <cell r="B2013">
            <v>2024</v>
          </cell>
          <cell r="C2013">
            <v>7</v>
          </cell>
          <cell r="E2013" t="str">
            <v>DEN</v>
          </cell>
          <cell r="I2013">
            <v>33</v>
          </cell>
          <cell r="J2013">
            <v>10</v>
          </cell>
          <cell r="L2013">
            <v>0</v>
          </cell>
        </row>
        <row r="2014">
          <cell r="B2014">
            <v>2024</v>
          </cell>
          <cell r="C2014">
            <v>8</v>
          </cell>
          <cell r="E2014" t="str">
            <v>DEN</v>
          </cell>
          <cell r="I2014">
            <v>28</v>
          </cell>
          <cell r="J2014">
            <v>14</v>
          </cell>
          <cell r="L2014">
            <v>0</v>
          </cell>
        </row>
        <row r="2015">
          <cell r="B2015">
            <v>2024</v>
          </cell>
          <cell r="C2015">
            <v>9</v>
          </cell>
          <cell r="E2015" t="str">
            <v>DEN</v>
          </cell>
          <cell r="I2015">
            <v>10</v>
          </cell>
          <cell r="J2015">
            <v>41</v>
          </cell>
          <cell r="L2015">
            <v>0</v>
          </cell>
        </row>
        <row r="2016">
          <cell r="B2016">
            <v>2024</v>
          </cell>
          <cell r="C2016">
            <v>10</v>
          </cell>
          <cell r="E2016" t="str">
            <v>DEN</v>
          </cell>
          <cell r="I2016">
            <v>14</v>
          </cell>
          <cell r="J2016">
            <v>16</v>
          </cell>
          <cell r="L2016">
            <v>0</v>
          </cell>
        </row>
        <row r="2017">
          <cell r="B2017">
            <v>2024</v>
          </cell>
          <cell r="C2017">
            <v>11</v>
          </cell>
          <cell r="E2017" t="str">
            <v>DEN</v>
          </cell>
          <cell r="I2017">
            <v>38</v>
          </cell>
          <cell r="J2017">
            <v>6</v>
          </cell>
          <cell r="L2017">
            <v>0</v>
          </cell>
        </row>
        <row r="2018">
          <cell r="B2018">
            <v>2024</v>
          </cell>
          <cell r="C2018">
            <v>12</v>
          </cell>
          <cell r="E2018" t="str">
            <v>DEN</v>
          </cell>
          <cell r="I2018">
            <v>29</v>
          </cell>
          <cell r="J2018">
            <v>19</v>
          </cell>
          <cell r="L2018">
            <v>0</v>
          </cell>
        </row>
        <row r="2019">
          <cell r="B2019">
            <v>2024</v>
          </cell>
          <cell r="C2019">
            <v>13</v>
          </cell>
          <cell r="E2019" t="str">
            <v>DEN</v>
          </cell>
          <cell r="I2019">
            <v>41</v>
          </cell>
          <cell r="J2019">
            <v>32</v>
          </cell>
          <cell r="L2019">
            <v>0</v>
          </cell>
        </row>
        <row r="2020">
          <cell r="B2020">
            <v>2024</v>
          </cell>
          <cell r="C2020">
            <v>15</v>
          </cell>
          <cell r="E2020" t="str">
            <v>DEN</v>
          </cell>
          <cell r="I2020">
            <v>31</v>
          </cell>
          <cell r="J2020">
            <v>13</v>
          </cell>
          <cell r="L2020">
            <v>0</v>
          </cell>
        </row>
        <row r="2021">
          <cell r="B2021">
            <v>2024</v>
          </cell>
          <cell r="C2021">
            <v>16</v>
          </cell>
          <cell r="E2021" t="str">
            <v>DEN</v>
          </cell>
          <cell r="I2021">
            <v>27</v>
          </cell>
          <cell r="J2021">
            <v>34</v>
          </cell>
          <cell r="L2021">
            <v>0</v>
          </cell>
        </row>
        <row r="2022">
          <cell r="B2022">
            <v>2024</v>
          </cell>
          <cell r="C2022">
            <v>17</v>
          </cell>
          <cell r="E2022" t="str">
            <v>DEN</v>
          </cell>
          <cell r="I2022">
            <v>24</v>
          </cell>
          <cell r="J2022">
            <v>30</v>
          </cell>
          <cell r="L2022">
            <v>0</v>
          </cell>
        </row>
        <row r="2023">
          <cell r="B2023">
            <v>2024</v>
          </cell>
          <cell r="C2023">
            <v>18</v>
          </cell>
          <cell r="E2023" t="str">
            <v>DEN</v>
          </cell>
          <cell r="I2023">
            <v>38</v>
          </cell>
          <cell r="J2023">
            <v>0</v>
          </cell>
          <cell r="L2023">
            <v>0</v>
          </cell>
        </row>
        <row r="2024">
          <cell r="B2024">
            <v>2024</v>
          </cell>
          <cell r="C2024">
            <v>1</v>
          </cell>
          <cell r="E2024" t="str">
            <v>DEN</v>
          </cell>
          <cell r="I2024">
            <v>7</v>
          </cell>
          <cell r="J2024">
            <v>31</v>
          </cell>
          <cell r="L2024">
            <v>1</v>
          </cell>
        </row>
        <row r="2025">
          <cell r="B2025">
            <v>2025</v>
          </cell>
          <cell r="C2025">
            <v>1</v>
          </cell>
          <cell r="E2025" t="str">
            <v>DEN</v>
          </cell>
          <cell r="I2025">
            <v>20</v>
          </cell>
          <cell r="J2025">
            <v>12</v>
          </cell>
          <cell r="L2025">
            <v>0</v>
          </cell>
        </row>
        <row r="2026">
          <cell r="B2026">
            <v>2025</v>
          </cell>
          <cell r="C2026">
            <v>2</v>
          </cell>
          <cell r="E2026" t="str">
            <v>DEN</v>
          </cell>
          <cell r="I2026">
            <v>28</v>
          </cell>
          <cell r="J2026">
            <v>29</v>
          </cell>
          <cell r="L2026">
            <v>0</v>
          </cell>
        </row>
        <row r="2027">
          <cell r="B2027">
            <v>2025</v>
          </cell>
          <cell r="C2027">
            <v>3</v>
          </cell>
          <cell r="E2027" t="str">
            <v>DEN</v>
          </cell>
          <cell r="I2027">
            <v>20</v>
          </cell>
          <cell r="J2027">
            <v>23</v>
          </cell>
          <cell r="L2027">
            <v>0</v>
          </cell>
        </row>
        <row r="2028">
          <cell r="B2028">
            <v>2025</v>
          </cell>
          <cell r="C2028">
            <v>4</v>
          </cell>
          <cell r="E2028" t="str">
            <v>DEN</v>
          </cell>
          <cell r="I2028">
            <v>28</v>
          </cell>
          <cell r="J2028">
            <v>3</v>
          </cell>
          <cell r="L2028">
            <v>0</v>
          </cell>
        </row>
        <row r="2029">
          <cell r="B2029">
            <v>2025</v>
          </cell>
          <cell r="C2029">
            <v>5</v>
          </cell>
          <cell r="E2029" t="str">
            <v>DEN</v>
          </cell>
          <cell r="I2029">
            <v>21</v>
          </cell>
          <cell r="J2029">
            <v>17</v>
          </cell>
          <cell r="L2029">
            <v>0</v>
          </cell>
        </row>
        <row r="2030">
          <cell r="B2030">
            <v>2025</v>
          </cell>
          <cell r="C2030">
            <v>6</v>
          </cell>
          <cell r="E2030" t="str">
            <v>DEN</v>
          </cell>
          <cell r="I2030">
            <v>13</v>
          </cell>
          <cell r="J2030">
            <v>11</v>
          </cell>
          <cell r="L2030">
            <v>0</v>
          </cell>
        </row>
        <row r="2031">
          <cell r="B2031">
            <v>2025</v>
          </cell>
          <cell r="C2031">
            <v>7</v>
          </cell>
          <cell r="E2031" t="str">
            <v>DEN</v>
          </cell>
          <cell r="I2031">
            <v>33</v>
          </cell>
          <cell r="J2031">
            <v>32</v>
          </cell>
          <cell r="L2031">
            <v>0</v>
          </cell>
        </row>
        <row r="2032">
          <cell r="B2032">
            <v>2025</v>
          </cell>
          <cell r="C2032">
            <v>8</v>
          </cell>
          <cell r="E2032" t="str">
            <v>DEN</v>
          </cell>
          <cell r="I2032">
            <v>44</v>
          </cell>
          <cell r="J2032">
            <v>24</v>
          </cell>
          <cell r="L2032">
            <v>0</v>
          </cell>
        </row>
        <row r="2033">
          <cell r="B2033">
            <v>2025</v>
          </cell>
          <cell r="C2033">
            <v>9</v>
          </cell>
          <cell r="E2033" t="str">
            <v>DEN</v>
          </cell>
          <cell r="I2033">
            <v>18</v>
          </cell>
          <cell r="J2033">
            <v>15</v>
          </cell>
          <cell r="L2033">
            <v>0</v>
          </cell>
        </row>
        <row r="2034">
          <cell r="B2034">
            <v>2025</v>
          </cell>
          <cell r="C2034">
            <v>10</v>
          </cell>
          <cell r="E2034" t="str">
            <v>DEN</v>
          </cell>
          <cell r="I2034">
            <v>10</v>
          </cell>
          <cell r="J2034">
            <v>7</v>
          </cell>
          <cell r="L2034">
            <v>0</v>
          </cell>
        </row>
        <row r="2035">
          <cell r="B2035">
            <v>2025</v>
          </cell>
          <cell r="C2035">
            <v>11</v>
          </cell>
          <cell r="E2035" t="str">
            <v>DEN</v>
          </cell>
          <cell r="I2035">
            <v>22</v>
          </cell>
          <cell r="J2035">
            <v>19</v>
          </cell>
          <cell r="L2035">
            <v>0</v>
          </cell>
        </row>
        <row r="2036">
          <cell r="B2036">
            <v>2025</v>
          </cell>
          <cell r="C2036">
            <v>13</v>
          </cell>
          <cell r="E2036" t="str">
            <v>DEN</v>
          </cell>
          <cell r="I2036">
            <v>27</v>
          </cell>
          <cell r="J2036">
            <v>26</v>
          </cell>
          <cell r="L2036">
            <v>0</v>
          </cell>
        </row>
        <row r="2037">
          <cell r="B2037">
            <v>2025</v>
          </cell>
          <cell r="C2037">
            <v>14</v>
          </cell>
          <cell r="E2037" t="str">
            <v>DEN</v>
          </cell>
          <cell r="I2037">
            <v>24</v>
          </cell>
          <cell r="J2037">
            <v>17</v>
          </cell>
          <cell r="L2037">
            <v>0</v>
          </cell>
        </row>
        <row r="2038">
          <cell r="B2038">
            <v>2025</v>
          </cell>
          <cell r="C2038">
            <v>15</v>
          </cell>
          <cell r="E2038" t="str">
            <v>DEN</v>
          </cell>
          <cell r="I2038">
            <v>34</v>
          </cell>
          <cell r="J2038">
            <v>26</v>
          </cell>
          <cell r="L2038">
            <v>0</v>
          </cell>
        </row>
        <row r="2039">
          <cell r="B2039">
            <v>2025</v>
          </cell>
          <cell r="C2039">
            <v>16</v>
          </cell>
          <cell r="E2039" t="str">
            <v>DEN</v>
          </cell>
          <cell r="I2039">
            <v>20</v>
          </cell>
          <cell r="J2039">
            <v>34</v>
          </cell>
          <cell r="L2039">
            <v>0</v>
          </cell>
        </row>
        <row r="2040">
          <cell r="B2040">
            <v>2025</v>
          </cell>
          <cell r="C2040">
            <v>17</v>
          </cell>
          <cell r="E2040" t="str">
            <v>DEN</v>
          </cell>
          <cell r="I2040">
            <v>20</v>
          </cell>
          <cell r="J2040">
            <v>13</v>
          </cell>
          <cell r="L2040">
            <v>0</v>
          </cell>
        </row>
        <row r="2041">
          <cell r="B2041">
            <v>2025</v>
          </cell>
          <cell r="C2041">
            <v>18</v>
          </cell>
          <cell r="E2041" t="str">
            <v>DEN</v>
          </cell>
          <cell r="I2041">
            <v>19</v>
          </cell>
          <cell r="J2041">
            <v>3</v>
          </cell>
          <cell r="L2041">
            <v>0</v>
          </cell>
        </row>
        <row r="2042">
          <cell r="B2042">
            <v>2025</v>
          </cell>
          <cell r="C2042">
            <v>2</v>
          </cell>
          <cell r="E2042" t="str">
            <v>DEN</v>
          </cell>
          <cell r="I2042">
            <v>33</v>
          </cell>
          <cell r="J2042">
            <v>30</v>
          </cell>
          <cell r="L2042">
            <v>1</v>
          </cell>
        </row>
        <row r="2043">
          <cell r="B2043">
            <v>2025</v>
          </cell>
          <cell r="C2043">
            <v>3</v>
          </cell>
          <cell r="E2043" t="str">
            <v>DEN</v>
          </cell>
          <cell r="I2043">
            <v>7</v>
          </cell>
          <cell r="J2043">
            <v>10</v>
          </cell>
          <cell r="L2043">
            <v>1</v>
          </cell>
        </row>
        <row r="2044">
          <cell r="B2044">
            <v>2026</v>
          </cell>
          <cell r="C2044">
            <v>1</v>
          </cell>
          <cell r="E2044" t="str">
            <v>DEN</v>
          </cell>
          <cell r="I2044">
            <v>10</v>
          </cell>
          <cell r="J2044">
            <v>31</v>
          </cell>
          <cell r="L2044">
            <v>0</v>
          </cell>
        </row>
        <row r="2045">
          <cell r="B2045">
            <v>2026</v>
          </cell>
          <cell r="C2045">
            <v>2</v>
          </cell>
          <cell r="E2045" t="str">
            <v>DEN</v>
          </cell>
          <cell r="I2045">
            <v>20</v>
          </cell>
          <cell r="J2045">
            <v>13</v>
          </cell>
          <cell r="L2045">
            <v>0</v>
          </cell>
        </row>
        <row r="2046">
          <cell r="B2046">
            <v>2026</v>
          </cell>
          <cell r="C2046">
            <v>3</v>
          </cell>
          <cell r="E2046" t="str">
            <v>DEN</v>
          </cell>
          <cell r="I2046">
            <v>30</v>
          </cell>
          <cell r="J2046">
            <v>26</v>
          </cell>
          <cell r="L2046">
            <v>0</v>
          </cell>
        </row>
        <row r="2047">
          <cell r="B2047">
            <v>2026</v>
          </cell>
          <cell r="C2047">
            <v>4</v>
          </cell>
          <cell r="E2047" t="str">
            <v>DEN</v>
          </cell>
          <cell r="I2047">
            <v>14</v>
          </cell>
          <cell r="J2047">
            <v>24</v>
          </cell>
          <cell r="L2047">
            <v>0</v>
          </cell>
        </row>
        <row r="2048">
          <cell r="B2048">
            <v>2026</v>
          </cell>
          <cell r="C2048">
            <v>5</v>
          </cell>
          <cell r="E2048" t="str">
            <v>DEN</v>
          </cell>
          <cell r="I2048">
            <v>23</v>
          </cell>
          <cell r="J2048">
            <v>17</v>
          </cell>
          <cell r="L2048">
            <v>0</v>
          </cell>
        </row>
        <row r="2049">
          <cell r="B2049">
            <v>2026</v>
          </cell>
          <cell r="C2049">
            <v>6</v>
          </cell>
          <cell r="E2049" t="str">
            <v>DEN</v>
          </cell>
          <cell r="I2049">
            <v>17</v>
          </cell>
          <cell r="J2049">
            <v>14</v>
          </cell>
          <cell r="L2049">
            <v>0</v>
          </cell>
        </row>
        <row r="2050">
          <cell r="B2050">
            <v>2026</v>
          </cell>
          <cell r="C2050">
            <v>7</v>
          </cell>
          <cell r="E2050" t="str">
            <v>DEN</v>
          </cell>
          <cell r="L2050">
            <v>0</v>
          </cell>
        </row>
        <row r="2051">
          <cell r="B2051">
            <v>2018</v>
          </cell>
          <cell r="C2051">
            <v>1</v>
          </cell>
          <cell r="E2051" t="str">
            <v>LV</v>
          </cell>
          <cell r="I2051">
            <v>13</v>
          </cell>
          <cell r="J2051">
            <v>33</v>
          </cell>
          <cell r="L2051">
            <v>0</v>
          </cell>
        </row>
        <row r="2052">
          <cell r="B2052">
            <v>2018</v>
          </cell>
          <cell r="C2052">
            <v>2</v>
          </cell>
          <cell r="E2052" t="str">
            <v>LV</v>
          </cell>
          <cell r="I2052">
            <v>19</v>
          </cell>
          <cell r="J2052">
            <v>20</v>
          </cell>
          <cell r="L2052">
            <v>0</v>
          </cell>
        </row>
        <row r="2053">
          <cell r="B2053">
            <v>2018</v>
          </cell>
          <cell r="C2053">
            <v>3</v>
          </cell>
          <cell r="E2053" t="str">
            <v>LV</v>
          </cell>
          <cell r="I2053">
            <v>20</v>
          </cell>
          <cell r="J2053">
            <v>28</v>
          </cell>
          <cell r="L2053">
            <v>0</v>
          </cell>
        </row>
        <row r="2054">
          <cell r="B2054">
            <v>2018</v>
          </cell>
          <cell r="C2054">
            <v>4</v>
          </cell>
          <cell r="E2054" t="str">
            <v>LV</v>
          </cell>
          <cell r="I2054">
            <v>45</v>
          </cell>
          <cell r="J2054">
            <v>42</v>
          </cell>
          <cell r="L2054">
            <v>0</v>
          </cell>
        </row>
        <row r="2055">
          <cell r="B2055">
            <v>2018</v>
          </cell>
          <cell r="C2055">
            <v>5</v>
          </cell>
          <cell r="E2055" t="str">
            <v>LV</v>
          </cell>
          <cell r="I2055">
            <v>10</v>
          </cell>
          <cell r="J2055">
            <v>26</v>
          </cell>
          <cell r="L2055">
            <v>0</v>
          </cell>
        </row>
        <row r="2056">
          <cell r="B2056">
            <v>2018</v>
          </cell>
          <cell r="C2056">
            <v>6</v>
          </cell>
          <cell r="E2056" t="str">
            <v>LV</v>
          </cell>
          <cell r="I2056">
            <v>3</v>
          </cell>
          <cell r="J2056">
            <v>27</v>
          </cell>
          <cell r="L2056">
            <v>0</v>
          </cell>
        </row>
        <row r="2057">
          <cell r="B2057">
            <v>2018</v>
          </cell>
          <cell r="C2057">
            <v>8</v>
          </cell>
          <cell r="E2057" t="str">
            <v>LV</v>
          </cell>
          <cell r="I2057">
            <v>28</v>
          </cell>
          <cell r="J2057">
            <v>42</v>
          </cell>
          <cell r="L2057">
            <v>0</v>
          </cell>
        </row>
        <row r="2058">
          <cell r="B2058">
            <v>2018</v>
          </cell>
          <cell r="C2058">
            <v>9</v>
          </cell>
          <cell r="E2058" t="str">
            <v>LV</v>
          </cell>
          <cell r="I2058">
            <v>3</v>
          </cell>
          <cell r="J2058">
            <v>34</v>
          </cell>
          <cell r="L2058">
            <v>0</v>
          </cell>
        </row>
        <row r="2059">
          <cell r="B2059">
            <v>2018</v>
          </cell>
          <cell r="C2059">
            <v>10</v>
          </cell>
          <cell r="E2059" t="str">
            <v>LV</v>
          </cell>
          <cell r="I2059">
            <v>6</v>
          </cell>
          <cell r="J2059">
            <v>20</v>
          </cell>
          <cell r="L2059">
            <v>0</v>
          </cell>
        </row>
        <row r="2060">
          <cell r="B2060">
            <v>2018</v>
          </cell>
          <cell r="C2060">
            <v>11</v>
          </cell>
          <cell r="E2060" t="str">
            <v>LV</v>
          </cell>
          <cell r="I2060">
            <v>23</v>
          </cell>
          <cell r="J2060">
            <v>21</v>
          </cell>
          <cell r="L2060">
            <v>0</v>
          </cell>
        </row>
        <row r="2061">
          <cell r="B2061">
            <v>2018</v>
          </cell>
          <cell r="C2061">
            <v>12</v>
          </cell>
          <cell r="E2061" t="str">
            <v>LV</v>
          </cell>
          <cell r="I2061">
            <v>17</v>
          </cell>
          <cell r="J2061">
            <v>34</v>
          </cell>
          <cell r="L2061">
            <v>0</v>
          </cell>
        </row>
        <row r="2062">
          <cell r="B2062">
            <v>2018</v>
          </cell>
          <cell r="C2062">
            <v>13</v>
          </cell>
          <cell r="E2062" t="str">
            <v>LV</v>
          </cell>
          <cell r="I2062">
            <v>33</v>
          </cell>
          <cell r="J2062">
            <v>40</v>
          </cell>
          <cell r="L2062">
            <v>0</v>
          </cell>
        </row>
        <row r="2063">
          <cell r="B2063">
            <v>2018</v>
          </cell>
          <cell r="C2063">
            <v>14</v>
          </cell>
          <cell r="E2063" t="str">
            <v>LV</v>
          </cell>
          <cell r="I2063">
            <v>24</v>
          </cell>
          <cell r="J2063">
            <v>21</v>
          </cell>
          <cell r="L2063">
            <v>0</v>
          </cell>
        </row>
        <row r="2064">
          <cell r="B2064">
            <v>2018</v>
          </cell>
          <cell r="C2064">
            <v>15</v>
          </cell>
          <cell r="E2064" t="str">
            <v>LV</v>
          </cell>
          <cell r="I2064">
            <v>16</v>
          </cell>
          <cell r="J2064">
            <v>30</v>
          </cell>
          <cell r="L2064">
            <v>0</v>
          </cell>
        </row>
        <row r="2065">
          <cell r="B2065">
            <v>2018</v>
          </cell>
          <cell r="C2065">
            <v>16</v>
          </cell>
          <cell r="E2065" t="str">
            <v>LV</v>
          </cell>
          <cell r="I2065">
            <v>27</v>
          </cell>
          <cell r="J2065">
            <v>14</v>
          </cell>
          <cell r="L2065">
            <v>0</v>
          </cell>
        </row>
        <row r="2066">
          <cell r="B2066">
            <v>2018</v>
          </cell>
          <cell r="C2066">
            <v>17</v>
          </cell>
          <cell r="E2066" t="str">
            <v>LV</v>
          </cell>
          <cell r="I2066">
            <v>3</v>
          </cell>
          <cell r="J2066">
            <v>35</v>
          </cell>
          <cell r="L2066">
            <v>0</v>
          </cell>
        </row>
        <row r="2067">
          <cell r="B2067">
            <v>2019</v>
          </cell>
          <cell r="C2067">
            <v>1</v>
          </cell>
          <cell r="E2067" t="str">
            <v>LV</v>
          </cell>
          <cell r="I2067">
            <v>24</v>
          </cell>
          <cell r="J2067">
            <v>16</v>
          </cell>
          <cell r="L2067">
            <v>0</v>
          </cell>
        </row>
        <row r="2068">
          <cell r="B2068">
            <v>2019</v>
          </cell>
          <cell r="C2068">
            <v>2</v>
          </cell>
          <cell r="E2068" t="str">
            <v>LV</v>
          </cell>
          <cell r="I2068">
            <v>10</v>
          </cell>
          <cell r="J2068">
            <v>28</v>
          </cell>
          <cell r="L2068">
            <v>0</v>
          </cell>
        </row>
        <row r="2069">
          <cell r="B2069">
            <v>2019</v>
          </cell>
          <cell r="C2069">
            <v>3</v>
          </cell>
          <cell r="E2069" t="str">
            <v>LV</v>
          </cell>
          <cell r="I2069">
            <v>14</v>
          </cell>
          <cell r="J2069">
            <v>34</v>
          </cell>
          <cell r="L2069">
            <v>0</v>
          </cell>
        </row>
        <row r="2070">
          <cell r="B2070">
            <v>2019</v>
          </cell>
          <cell r="C2070">
            <v>4</v>
          </cell>
          <cell r="E2070" t="str">
            <v>LV</v>
          </cell>
          <cell r="I2070">
            <v>31</v>
          </cell>
          <cell r="J2070">
            <v>24</v>
          </cell>
          <cell r="L2070">
            <v>0</v>
          </cell>
        </row>
        <row r="2071">
          <cell r="B2071">
            <v>2019</v>
          </cell>
          <cell r="C2071">
            <v>5</v>
          </cell>
          <cell r="E2071" t="str">
            <v>LV</v>
          </cell>
          <cell r="I2071">
            <v>24</v>
          </cell>
          <cell r="J2071">
            <v>21</v>
          </cell>
          <cell r="L2071">
            <v>0</v>
          </cell>
        </row>
        <row r="2072">
          <cell r="B2072">
            <v>2019</v>
          </cell>
          <cell r="C2072">
            <v>7</v>
          </cell>
          <cell r="E2072" t="str">
            <v>LV</v>
          </cell>
          <cell r="I2072">
            <v>24</v>
          </cell>
          <cell r="J2072">
            <v>42</v>
          </cell>
          <cell r="L2072">
            <v>0</v>
          </cell>
        </row>
        <row r="2073">
          <cell r="B2073">
            <v>2019</v>
          </cell>
          <cell r="C2073">
            <v>8</v>
          </cell>
          <cell r="E2073" t="str">
            <v>LV</v>
          </cell>
          <cell r="I2073">
            <v>24</v>
          </cell>
          <cell r="J2073">
            <v>27</v>
          </cell>
          <cell r="L2073">
            <v>0</v>
          </cell>
        </row>
        <row r="2074">
          <cell r="B2074">
            <v>2019</v>
          </cell>
          <cell r="C2074">
            <v>9</v>
          </cell>
          <cell r="E2074" t="str">
            <v>LV</v>
          </cell>
          <cell r="I2074">
            <v>31</v>
          </cell>
          <cell r="J2074">
            <v>24</v>
          </cell>
          <cell r="L2074">
            <v>0</v>
          </cell>
        </row>
        <row r="2075">
          <cell r="B2075">
            <v>2019</v>
          </cell>
          <cell r="C2075">
            <v>10</v>
          </cell>
          <cell r="E2075" t="str">
            <v>LV</v>
          </cell>
          <cell r="I2075">
            <v>26</v>
          </cell>
          <cell r="J2075">
            <v>24</v>
          </cell>
          <cell r="L2075">
            <v>0</v>
          </cell>
        </row>
        <row r="2076">
          <cell r="B2076">
            <v>2019</v>
          </cell>
          <cell r="C2076">
            <v>11</v>
          </cell>
          <cell r="E2076" t="str">
            <v>LV</v>
          </cell>
          <cell r="I2076">
            <v>17</v>
          </cell>
          <cell r="J2076">
            <v>10</v>
          </cell>
          <cell r="L2076">
            <v>0</v>
          </cell>
        </row>
        <row r="2077">
          <cell r="B2077">
            <v>2019</v>
          </cell>
          <cell r="C2077">
            <v>12</v>
          </cell>
          <cell r="E2077" t="str">
            <v>LV</v>
          </cell>
          <cell r="I2077">
            <v>3</v>
          </cell>
          <cell r="J2077">
            <v>34</v>
          </cell>
          <cell r="L2077">
            <v>0</v>
          </cell>
        </row>
        <row r="2078">
          <cell r="B2078">
            <v>2019</v>
          </cell>
          <cell r="C2078">
            <v>13</v>
          </cell>
          <cell r="E2078" t="str">
            <v>LV</v>
          </cell>
          <cell r="I2078">
            <v>9</v>
          </cell>
          <cell r="J2078">
            <v>40</v>
          </cell>
          <cell r="L2078">
            <v>0</v>
          </cell>
        </row>
        <row r="2079">
          <cell r="B2079">
            <v>2019</v>
          </cell>
          <cell r="C2079">
            <v>14</v>
          </cell>
          <cell r="E2079" t="str">
            <v>LV</v>
          </cell>
          <cell r="I2079">
            <v>21</v>
          </cell>
          <cell r="J2079">
            <v>42</v>
          </cell>
          <cell r="L2079">
            <v>0</v>
          </cell>
        </row>
        <row r="2080">
          <cell r="B2080">
            <v>2019</v>
          </cell>
          <cell r="C2080">
            <v>15</v>
          </cell>
          <cell r="E2080" t="str">
            <v>LV</v>
          </cell>
          <cell r="I2080">
            <v>16</v>
          </cell>
          <cell r="J2080">
            <v>20</v>
          </cell>
          <cell r="L2080">
            <v>0</v>
          </cell>
        </row>
        <row r="2081">
          <cell r="B2081">
            <v>2019</v>
          </cell>
          <cell r="C2081">
            <v>16</v>
          </cell>
          <cell r="E2081" t="str">
            <v>LV</v>
          </cell>
          <cell r="I2081">
            <v>24</v>
          </cell>
          <cell r="J2081">
            <v>17</v>
          </cell>
          <cell r="L2081">
            <v>0</v>
          </cell>
        </row>
        <row r="2082">
          <cell r="B2082">
            <v>2019</v>
          </cell>
          <cell r="C2082">
            <v>17</v>
          </cell>
          <cell r="E2082" t="str">
            <v>LV</v>
          </cell>
          <cell r="I2082">
            <v>15</v>
          </cell>
          <cell r="J2082">
            <v>16</v>
          </cell>
          <cell r="L2082">
            <v>0</v>
          </cell>
        </row>
        <row r="2083">
          <cell r="B2083">
            <v>2020</v>
          </cell>
          <cell r="C2083">
            <v>1</v>
          </cell>
          <cell r="E2083" t="str">
            <v>LV</v>
          </cell>
          <cell r="I2083">
            <v>34</v>
          </cell>
          <cell r="J2083">
            <v>30</v>
          </cell>
          <cell r="L2083">
            <v>0</v>
          </cell>
        </row>
        <row r="2084">
          <cell r="B2084">
            <v>2020</v>
          </cell>
          <cell r="C2084">
            <v>2</v>
          </cell>
          <cell r="E2084" t="str">
            <v>LV</v>
          </cell>
          <cell r="I2084">
            <v>34</v>
          </cell>
          <cell r="J2084">
            <v>24</v>
          </cell>
          <cell r="L2084">
            <v>0</v>
          </cell>
        </row>
        <row r="2085">
          <cell r="B2085">
            <v>2020</v>
          </cell>
          <cell r="C2085">
            <v>3</v>
          </cell>
          <cell r="E2085" t="str">
            <v>LV</v>
          </cell>
          <cell r="I2085">
            <v>20</v>
          </cell>
          <cell r="J2085">
            <v>36</v>
          </cell>
          <cell r="L2085">
            <v>0</v>
          </cell>
        </row>
        <row r="2086">
          <cell r="B2086">
            <v>2020</v>
          </cell>
          <cell r="C2086">
            <v>4</v>
          </cell>
          <cell r="E2086" t="str">
            <v>LV</v>
          </cell>
          <cell r="I2086">
            <v>23</v>
          </cell>
          <cell r="J2086">
            <v>30</v>
          </cell>
          <cell r="L2086">
            <v>0</v>
          </cell>
        </row>
        <row r="2087">
          <cell r="B2087">
            <v>2020</v>
          </cell>
          <cell r="C2087">
            <v>5</v>
          </cell>
          <cell r="E2087" t="str">
            <v>LV</v>
          </cell>
          <cell r="I2087">
            <v>40</v>
          </cell>
          <cell r="J2087">
            <v>32</v>
          </cell>
          <cell r="L2087">
            <v>0</v>
          </cell>
        </row>
        <row r="2088">
          <cell r="B2088">
            <v>2020</v>
          </cell>
          <cell r="C2088">
            <v>7</v>
          </cell>
          <cell r="E2088" t="str">
            <v>LV</v>
          </cell>
          <cell r="I2088">
            <v>20</v>
          </cell>
          <cell r="J2088">
            <v>45</v>
          </cell>
          <cell r="L2088">
            <v>0</v>
          </cell>
        </row>
        <row r="2089">
          <cell r="B2089">
            <v>2020</v>
          </cell>
          <cell r="C2089">
            <v>8</v>
          </cell>
          <cell r="E2089" t="str">
            <v>LV</v>
          </cell>
          <cell r="I2089">
            <v>16</v>
          </cell>
          <cell r="J2089">
            <v>6</v>
          </cell>
          <cell r="L2089">
            <v>0</v>
          </cell>
        </row>
        <row r="2090">
          <cell r="B2090">
            <v>2020</v>
          </cell>
          <cell r="C2090">
            <v>9</v>
          </cell>
          <cell r="E2090" t="str">
            <v>LV</v>
          </cell>
          <cell r="I2090">
            <v>31</v>
          </cell>
          <cell r="J2090">
            <v>26</v>
          </cell>
          <cell r="L2090">
            <v>0</v>
          </cell>
        </row>
        <row r="2091">
          <cell r="B2091">
            <v>2020</v>
          </cell>
          <cell r="C2091">
            <v>10</v>
          </cell>
          <cell r="E2091" t="str">
            <v>LV</v>
          </cell>
          <cell r="I2091">
            <v>37</v>
          </cell>
          <cell r="J2091">
            <v>12</v>
          </cell>
          <cell r="L2091">
            <v>0</v>
          </cell>
        </row>
        <row r="2092">
          <cell r="B2092">
            <v>2020</v>
          </cell>
          <cell r="C2092">
            <v>11</v>
          </cell>
          <cell r="E2092" t="str">
            <v>LV</v>
          </cell>
          <cell r="I2092">
            <v>31</v>
          </cell>
          <cell r="J2092">
            <v>35</v>
          </cell>
          <cell r="L2092">
            <v>0</v>
          </cell>
        </row>
        <row r="2093">
          <cell r="B2093">
            <v>2020</v>
          </cell>
          <cell r="C2093">
            <v>12</v>
          </cell>
          <cell r="E2093" t="str">
            <v>LV</v>
          </cell>
          <cell r="I2093">
            <v>6</v>
          </cell>
          <cell r="J2093">
            <v>43</v>
          </cell>
          <cell r="L2093">
            <v>0</v>
          </cell>
        </row>
        <row r="2094">
          <cell r="B2094">
            <v>2020</v>
          </cell>
          <cell r="C2094">
            <v>13</v>
          </cell>
          <cell r="E2094" t="str">
            <v>LV</v>
          </cell>
          <cell r="I2094">
            <v>31</v>
          </cell>
          <cell r="J2094">
            <v>28</v>
          </cell>
          <cell r="L2094">
            <v>0</v>
          </cell>
        </row>
        <row r="2095">
          <cell r="B2095">
            <v>2020</v>
          </cell>
          <cell r="C2095">
            <v>14</v>
          </cell>
          <cell r="E2095" t="str">
            <v>LV</v>
          </cell>
          <cell r="I2095">
            <v>27</v>
          </cell>
          <cell r="J2095">
            <v>44</v>
          </cell>
          <cell r="L2095">
            <v>0</v>
          </cell>
        </row>
        <row r="2096">
          <cell r="B2096">
            <v>2020</v>
          </cell>
          <cell r="C2096">
            <v>15</v>
          </cell>
          <cell r="E2096" t="str">
            <v>LV</v>
          </cell>
          <cell r="I2096">
            <v>27</v>
          </cell>
          <cell r="J2096">
            <v>30</v>
          </cell>
          <cell r="L2096">
            <v>0</v>
          </cell>
        </row>
        <row r="2097">
          <cell r="B2097">
            <v>2020</v>
          </cell>
          <cell r="C2097">
            <v>16</v>
          </cell>
          <cell r="E2097" t="str">
            <v>LV</v>
          </cell>
          <cell r="I2097">
            <v>25</v>
          </cell>
          <cell r="J2097">
            <v>26</v>
          </cell>
          <cell r="L2097">
            <v>0</v>
          </cell>
        </row>
        <row r="2098">
          <cell r="B2098">
            <v>2020</v>
          </cell>
          <cell r="C2098">
            <v>17</v>
          </cell>
          <cell r="E2098" t="str">
            <v>LV</v>
          </cell>
          <cell r="I2098">
            <v>32</v>
          </cell>
          <cell r="J2098">
            <v>31</v>
          </cell>
          <cell r="L2098">
            <v>0</v>
          </cell>
        </row>
        <row r="2099">
          <cell r="B2099">
            <v>2021</v>
          </cell>
          <cell r="C2099">
            <v>1</v>
          </cell>
          <cell r="E2099" t="str">
            <v>LV</v>
          </cell>
          <cell r="I2099">
            <v>33</v>
          </cell>
          <cell r="J2099">
            <v>27</v>
          </cell>
          <cell r="L2099">
            <v>0</v>
          </cell>
        </row>
        <row r="2100">
          <cell r="B2100">
            <v>2021</v>
          </cell>
          <cell r="C2100">
            <v>2</v>
          </cell>
          <cell r="E2100" t="str">
            <v>LV</v>
          </cell>
          <cell r="I2100">
            <v>26</v>
          </cell>
          <cell r="J2100">
            <v>17</v>
          </cell>
          <cell r="L2100">
            <v>0</v>
          </cell>
        </row>
        <row r="2101">
          <cell r="B2101">
            <v>2021</v>
          </cell>
          <cell r="C2101">
            <v>3</v>
          </cell>
          <cell r="E2101" t="str">
            <v>LV</v>
          </cell>
          <cell r="I2101">
            <v>31</v>
          </cell>
          <cell r="J2101">
            <v>28</v>
          </cell>
          <cell r="L2101">
            <v>0</v>
          </cell>
        </row>
        <row r="2102">
          <cell r="B2102">
            <v>2021</v>
          </cell>
          <cell r="C2102">
            <v>4</v>
          </cell>
          <cell r="E2102" t="str">
            <v>LV</v>
          </cell>
          <cell r="I2102">
            <v>14</v>
          </cell>
          <cell r="J2102">
            <v>28</v>
          </cell>
          <cell r="L2102">
            <v>0</v>
          </cell>
        </row>
        <row r="2103">
          <cell r="B2103">
            <v>2021</v>
          </cell>
          <cell r="C2103">
            <v>5</v>
          </cell>
          <cell r="E2103" t="str">
            <v>LV</v>
          </cell>
          <cell r="I2103">
            <v>9</v>
          </cell>
          <cell r="J2103">
            <v>20</v>
          </cell>
          <cell r="L2103">
            <v>0</v>
          </cell>
        </row>
        <row r="2104">
          <cell r="B2104">
            <v>2021</v>
          </cell>
          <cell r="C2104">
            <v>6</v>
          </cell>
          <cell r="E2104" t="str">
            <v>LV</v>
          </cell>
          <cell r="I2104">
            <v>34</v>
          </cell>
          <cell r="J2104">
            <v>24</v>
          </cell>
          <cell r="L2104">
            <v>0</v>
          </cell>
        </row>
        <row r="2105">
          <cell r="B2105">
            <v>2021</v>
          </cell>
          <cell r="C2105">
            <v>7</v>
          </cell>
          <cell r="E2105" t="str">
            <v>LV</v>
          </cell>
          <cell r="I2105">
            <v>33</v>
          </cell>
          <cell r="J2105">
            <v>22</v>
          </cell>
          <cell r="L2105">
            <v>0</v>
          </cell>
        </row>
        <row r="2106">
          <cell r="B2106">
            <v>2021</v>
          </cell>
          <cell r="C2106">
            <v>9</v>
          </cell>
          <cell r="E2106" t="str">
            <v>LV</v>
          </cell>
          <cell r="I2106">
            <v>16</v>
          </cell>
          <cell r="J2106">
            <v>23</v>
          </cell>
          <cell r="L2106">
            <v>0</v>
          </cell>
        </row>
        <row r="2107">
          <cell r="B2107">
            <v>2021</v>
          </cell>
          <cell r="C2107">
            <v>10</v>
          </cell>
          <cell r="E2107" t="str">
            <v>LV</v>
          </cell>
          <cell r="I2107">
            <v>14</v>
          </cell>
          <cell r="J2107">
            <v>41</v>
          </cell>
          <cell r="L2107">
            <v>0</v>
          </cell>
        </row>
        <row r="2108">
          <cell r="B2108">
            <v>2021</v>
          </cell>
          <cell r="C2108">
            <v>11</v>
          </cell>
          <cell r="E2108" t="str">
            <v>LV</v>
          </cell>
          <cell r="I2108">
            <v>13</v>
          </cell>
          <cell r="J2108">
            <v>32</v>
          </cell>
          <cell r="L2108">
            <v>0</v>
          </cell>
        </row>
        <row r="2109">
          <cell r="B2109">
            <v>2021</v>
          </cell>
          <cell r="C2109">
            <v>12</v>
          </cell>
          <cell r="E2109" t="str">
            <v>LV</v>
          </cell>
          <cell r="I2109">
            <v>36</v>
          </cell>
          <cell r="J2109">
            <v>33</v>
          </cell>
          <cell r="L2109">
            <v>0</v>
          </cell>
        </row>
        <row r="2110">
          <cell r="B2110">
            <v>2021</v>
          </cell>
          <cell r="C2110">
            <v>13</v>
          </cell>
          <cell r="E2110" t="str">
            <v>LV</v>
          </cell>
          <cell r="I2110">
            <v>15</v>
          </cell>
          <cell r="J2110">
            <v>17</v>
          </cell>
          <cell r="L2110">
            <v>0</v>
          </cell>
        </row>
        <row r="2111">
          <cell r="B2111">
            <v>2021</v>
          </cell>
          <cell r="C2111">
            <v>14</v>
          </cell>
          <cell r="E2111" t="str">
            <v>LV</v>
          </cell>
          <cell r="I2111">
            <v>9</v>
          </cell>
          <cell r="J2111">
            <v>48</v>
          </cell>
          <cell r="L2111">
            <v>0</v>
          </cell>
        </row>
        <row r="2112">
          <cell r="B2112">
            <v>2021</v>
          </cell>
          <cell r="C2112">
            <v>15</v>
          </cell>
          <cell r="E2112" t="str">
            <v>LV</v>
          </cell>
          <cell r="I2112">
            <v>16</v>
          </cell>
          <cell r="J2112">
            <v>14</v>
          </cell>
          <cell r="L2112">
            <v>0</v>
          </cell>
        </row>
        <row r="2113">
          <cell r="B2113">
            <v>2021</v>
          </cell>
          <cell r="C2113">
            <v>16</v>
          </cell>
          <cell r="E2113" t="str">
            <v>LV</v>
          </cell>
          <cell r="I2113">
            <v>17</v>
          </cell>
          <cell r="J2113">
            <v>13</v>
          </cell>
          <cell r="L2113">
            <v>0</v>
          </cell>
        </row>
        <row r="2114">
          <cell r="B2114">
            <v>2021</v>
          </cell>
          <cell r="C2114">
            <v>17</v>
          </cell>
          <cell r="E2114" t="str">
            <v>LV</v>
          </cell>
          <cell r="I2114">
            <v>23</v>
          </cell>
          <cell r="J2114">
            <v>20</v>
          </cell>
          <cell r="L2114">
            <v>0</v>
          </cell>
        </row>
        <row r="2115">
          <cell r="B2115">
            <v>2021</v>
          </cell>
          <cell r="C2115">
            <v>18</v>
          </cell>
          <cell r="E2115" t="str">
            <v>LV</v>
          </cell>
          <cell r="I2115">
            <v>35</v>
          </cell>
          <cell r="J2115">
            <v>32</v>
          </cell>
          <cell r="L2115">
            <v>0</v>
          </cell>
        </row>
        <row r="2116">
          <cell r="B2116">
            <v>2021</v>
          </cell>
          <cell r="C2116">
            <v>1</v>
          </cell>
          <cell r="E2116" t="str">
            <v>LV</v>
          </cell>
          <cell r="I2116">
            <v>19</v>
          </cell>
          <cell r="J2116">
            <v>26</v>
          </cell>
          <cell r="L2116">
            <v>1</v>
          </cell>
        </row>
        <row r="2117">
          <cell r="B2117">
            <v>2022</v>
          </cell>
          <cell r="C2117">
            <v>1</v>
          </cell>
          <cell r="E2117" t="str">
            <v>LV</v>
          </cell>
          <cell r="I2117">
            <v>19</v>
          </cell>
          <cell r="J2117">
            <v>24</v>
          </cell>
          <cell r="L2117">
            <v>0</v>
          </cell>
        </row>
        <row r="2118">
          <cell r="B2118">
            <v>2022</v>
          </cell>
          <cell r="C2118">
            <v>2</v>
          </cell>
          <cell r="E2118" t="str">
            <v>LV</v>
          </cell>
          <cell r="I2118">
            <v>23</v>
          </cell>
          <cell r="J2118">
            <v>29</v>
          </cell>
          <cell r="L2118">
            <v>0</v>
          </cell>
        </row>
        <row r="2119">
          <cell r="B2119">
            <v>2022</v>
          </cell>
          <cell r="C2119">
            <v>3</v>
          </cell>
          <cell r="E2119" t="str">
            <v>LV</v>
          </cell>
          <cell r="I2119">
            <v>22</v>
          </cell>
          <cell r="J2119">
            <v>24</v>
          </cell>
          <cell r="L2119">
            <v>0</v>
          </cell>
        </row>
        <row r="2120">
          <cell r="B2120">
            <v>2022</v>
          </cell>
          <cell r="C2120">
            <v>4</v>
          </cell>
          <cell r="E2120" t="str">
            <v>LV</v>
          </cell>
          <cell r="I2120">
            <v>32</v>
          </cell>
          <cell r="J2120">
            <v>23</v>
          </cell>
          <cell r="L2120">
            <v>0</v>
          </cell>
        </row>
        <row r="2121">
          <cell r="B2121">
            <v>2022</v>
          </cell>
          <cell r="C2121">
            <v>5</v>
          </cell>
          <cell r="E2121" t="str">
            <v>LV</v>
          </cell>
          <cell r="I2121">
            <v>29</v>
          </cell>
          <cell r="J2121">
            <v>30</v>
          </cell>
          <cell r="L2121">
            <v>0</v>
          </cell>
        </row>
        <row r="2122">
          <cell r="B2122">
            <v>2022</v>
          </cell>
          <cell r="C2122">
            <v>7</v>
          </cell>
          <cell r="E2122" t="str">
            <v>LV</v>
          </cell>
          <cell r="I2122">
            <v>38</v>
          </cell>
          <cell r="J2122">
            <v>20</v>
          </cell>
          <cell r="L2122">
            <v>0</v>
          </cell>
        </row>
        <row r="2123">
          <cell r="B2123">
            <v>2022</v>
          </cell>
          <cell r="C2123">
            <v>8</v>
          </cell>
          <cell r="E2123" t="str">
            <v>LV</v>
          </cell>
          <cell r="I2123">
            <v>0</v>
          </cell>
          <cell r="J2123">
            <v>24</v>
          </cell>
          <cell r="L2123">
            <v>0</v>
          </cell>
        </row>
        <row r="2124">
          <cell r="B2124">
            <v>2022</v>
          </cell>
          <cell r="C2124">
            <v>9</v>
          </cell>
          <cell r="E2124" t="str">
            <v>LV</v>
          </cell>
          <cell r="I2124">
            <v>20</v>
          </cell>
          <cell r="J2124">
            <v>27</v>
          </cell>
          <cell r="L2124">
            <v>0</v>
          </cell>
        </row>
        <row r="2125">
          <cell r="B2125">
            <v>2022</v>
          </cell>
          <cell r="C2125">
            <v>10</v>
          </cell>
          <cell r="E2125" t="str">
            <v>LV</v>
          </cell>
          <cell r="I2125">
            <v>20</v>
          </cell>
          <cell r="J2125">
            <v>25</v>
          </cell>
          <cell r="L2125">
            <v>0</v>
          </cell>
        </row>
        <row r="2126">
          <cell r="B2126">
            <v>2022</v>
          </cell>
          <cell r="C2126">
            <v>11</v>
          </cell>
          <cell r="E2126" t="str">
            <v>LV</v>
          </cell>
          <cell r="I2126">
            <v>22</v>
          </cell>
          <cell r="J2126">
            <v>16</v>
          </cell>
          <cell r="L2126">
            <v>0</v>
          </cell>
        </row>
        <row r="2127">
          <cell r="B2127">
            <v>2022</v>
          </cell>
          <cell r="C2127">
            <v>12</v>
          </cell>
          <cell r="E2127" t="str">
            <v>LV</v>
          </cell>
          <cell r="I2127">
            <v>40</v>
          </cell>
          <cell r="J2127">
            <v>34</v>
          </cell>
          <cell r="L2127">
            <v>0</v>
          </cell>
        </row>
        <row r="2128">
          <cell r="B2128">
            <v>2022</v>
          </cell>
          <cell r="C2128">
            <v>13</v>
          </cell>
          <cell r="E2128" t="str">
            <v>LV</v>
          </cell>
          <cell r="I2128">
            <v>27</v>
          </cell>
          <cell r="J2128">
            <v>20</v>
          </cell>
          <cell r="L2128">
            <v>0</v>
          </cell>
        </row>
        <row r="2129">
          <cell r="B2129">
            <v>2022</v>
          </cell>
          <cell r="C2129">
            <v>14</v>
          </cell>
          <cell r="E2129" t="str">
            <v>LV</v>
          </cell>
          <cell r="I2129">
            <v>16</v>
          </cell>
          <cell r="J2129">
            <v>17</v>
          </cell>
          <cell r="L2129">
            <v>0</v>
          </cell>
        </row>
        <row r="2130">
          <cell r="B2130">
            <v>2022</v>
          </cell>
          <cell r="C2130">
            <v>15</v>
          </cell>
          <cell r="E2130" t="str">
            <v>LV</v>
          </cell>
          <cell r="I2130">
            <v>30</v>
          </cell>
          <cell r="J2130">
            <v>24</v>
          </cell>
          <cell r="L2130">
            <v>0</v>
          </cell>
        </row>
        <row r="2131">
          <cell r="B2131">
            <v>2022</v>
          </cell>
          <cell r="C2131">
            <v>16</v>
          </cell>
          <cell r="E2131" t="str">
            <v>LV</v>
          </cell>
          <cell r="I2131">
            <v>10</v>
          </cell>
          <cell r="J2131">
            <v>13</v>
          </cell>
          <cell r="L2131">
            <v>0</v>
          </cell>
        </row>
        <row r="2132">
          <cell r="B2132">
            <v>2022</v>
          </cell>
          <cell r="C2132">
            <v>17</v>
          </cell>
          <cell r="E2132" t="str">
            <v>LV</v>
          </cell>
          <cell r="I2132">
            <v>34</v>
          </cell>
          <cell r="J2132">
            <v>37</v>
          </cell>
          <cell r="L2132">
            <v>0</v>
          </cell>
        </row>
        <row r="2133">
          <cell r="B2133">
            <v>2022</v>
          </cell>
          <cell r="C2133">
            <v>18</v>
          </cell>
          <cell r="E2133" t="str">
            <v>LV</v>
          </cell>
          <cell r="I2133">
            <v>13</v>
          </cell>
          <cell r="J2133">
            <v>31</v>
          </cell>
          <cell r="L2133">
            <v>0</v>
          </cell>
        </row>
        <row r="2134">
          <cell r="B2134">
            <v>2023</v>
          </cell>
          <cell r="C2134">
            <v>1</v>
          </cell>
          <cell r="E2134" t="str">
            <v>LV</v>
          </cell>
          <cell r="I2134">
            <v>17</v>
          </cell>
          <cell r="J2134">
            <v>16</v>
          </cell>
          <cell r="L2134">
            <v>0</v>
          </cell>
        </row>
        <row r="2135">
          <cell r="B2135">
            <v>2023</v>
          </cell>
          <cell r="C2135">
            <v>2</v>
          </cell>
          <cell r="E2135" t="str">
            <v>LV</v>
          </cell>
          <cell r="I2135">
            <v>10</v>
          </cell>
          <cell r="J2135">
            <v>38</v>
          </cell>
          <cell r="L2135">
            <v>0</v>
          </cell>
        </row>
        <row r="2136">
          <cell r="B2136">
            <v>2023</v>
          </cell>
          <cell r="C2136">
            <v>3</v>
          </cell>
          <cell r="E2136" t="str">
            <v>LV</v>
          </cell>
          <cell r="I2136">
            <v>18</v>
          </cell>
          <cell r="J2136">
            <v>23</v>
          </cell>
          <cell r="L2136">
            <v>0</v>
          </cell>
        </row>
        <row r="2137">
          <cell r="B2137">
            <v>2023</v>
          </cell>
          <cell r="C2137">
            <v>4</v>
          </cell>
          <cell r="E2137" t="str">
            <v>LV</v>
          </cell>
          <cell r="I2137">
            <v>17</v>
          </cell>
          <cell r="J2137">
            <v>24</v>
          </cell>
          <cell r="L2137">
            <v>0</v>
          </cell>
        </row>
        <row r="2138">
          <cell r="B2138">
            <v>2023</v>
          </cell>
          <cell r="C2138">
            <v>5</v>
          </cell>
          <cell r="E2138" t="str">
            <v>LV</v>
          </cell>
          <cell r="I2138">
            <v>17</v>
          </cell>
          <cell r="J2138">
            <v>13</v>
          </cell>
          <cell r="L2138">
            <v>0</v>
          </cell>
        </row>
        <row r="2139">
          <cell r="B2139">
            <v>2023</v>
          </cell>
          <cell r="C2139">
            <v>6</v>
          </cell>
          <cell r="E2139" t="str">
            <v>LV</v>
          </cell>
          <cell r="I2139">
            <v>21</v>
          </cell>
          <cell r="J2139">
            <v>17</v>
          </cell>
          <cell r="L2139">
            <v>0</v>
          </cell>
        </row>
        <row r="2140">
          <cell r="B2140">
            <v>2023</v>
          </cell>
          <cell r="C2140">
            <v>7</v>
          </cell>
          <cell r="E2140" t="str">
            <v>LV</v>
          </cell>
          <cell r="I2140">
            <v>12</v>
          </cell>
          <cell r="J2140">
            <v>30</v>
          </cell>
          <cell r="L2140">
            <v>0</v>
          </cell>
        </row>
        <row r="2141">
          <cell r="B2141">
            <v>2023</v>
          </cell>
          <cell r="C2141">
            <v>8</v>
          </cell>
          <cell r="E2141" t="str">
            <v>LV</v>
          </cell>
          <cell r="I2141">
            <v>14</v>
          </cell>
          <cell r="J2141">
            <v>26</v>
          </cell>
          <cell r="L2141">
            <v>0</v>
          </cell>
        </row>
        <row r="2142">
          <cell r="B2142">
            <v>2023</v>
          </cell>
          <cell r="C2142">
            <v>9</v>
          </cell>
          <cell r="E2142" t="str">
            <v>LV</v>
          </cell>
          <cell r="I2142">
            <v>30</v>
          </cell>
          <cell r="J2142">
            <v>6</v>
          </cell>
          <cell r="L2142">
            <v>0</v>
          </cell>
        </row>
        <row r="2143">
          <cell r="B2143">
            <v>2023</v>
          </cell>
          <cell r="C2143">
            <v>10</v>
          </cell>
          <cell r="E2143" t="str">
            <v>LV</v>
          </cell>
          <cell r="I2143">
            <v>16</v>
          </cell>
          <cell r="J2143">
            <v>12</v>
          </cell>
          <cell r="L2143">
            <v>0</v>
          </cell>
        </row>
        <row r="2144">
          <cell r="B2144">
            <v>2023</v>
          </cell>
          <cell r="C2144">
            <v>11</v>
          </cell>
          <cell r="E2144" t="str">
            <v>LV</v>
          </cell>
          <cell r="I2144">
            <v>13</v>
          </cell>
          <cell r="J2144">
            <v>20</v>
          </cell>
          <cell r="L2144">
            <v>0</v>
          </cell>
        </row>
        <row r="2145">
          <cell r="B2145">
            <v>2023</v>
          </cell>
          <cell r="C2145">
            <v>12</v>
          </cell>
          <cell r="E2145" t="str">
            <v>LV</v>
          </cell>
          <cell r="I2145">
            <v>17</v>
          </cell>
          <cell r="J2145">
            <v>31</v>
          </cell>
          <cell r="L2145">
            <v>0</v>
          </cell>
        </row>
        <row r="2146">
          <cell r="B2146">
            <v>2023</v>
          </cell>
          <cell r="C2146">
            <v>14</v>
          </cell>
          <cell r="E2146" t="str">
            <v>LV</v>
          </cell>
          <cell r="I2146">
            <v>0</v>
          </cell>
          <cell r="J2146">
            <v>3</v>
          </cell>
          <cell r="L2146">
            <v>0</v>
          </cell>
        </row>
        <row r="2147">
          <cell r="B2147">
            <v>2023</v>
          </cell>
          <cell r="C2147">
            <v>15</v>
          </cell>
          <cell r="E2147" t="str">
            <v>LV</v>
          </cell>
          <cell r="I2147">
            <v>63</v>
          </cell>
          <cell r="J2147">
            <v>21</v>
          </cell>
          <cell r="L2147">
            <v>0</v>
          </cell>
        </row>
        <row r="2148">
          <cell r="B2148">
            <v>2023</v>
          </cell>
          <cell r="C2148">
            <v>16</v>
          </cell>
          <cell r="E2148" t="str">
            <v>LV</v>
          </cell>
          <cell r="I2148">
            <v>20</v>
          </cell>
          <cell r="J2148">
            <v>14</v>
          </cell>
          <cell r="L2148">
            <v>0</v>
          </cell>
        </row>
        <row r="2149">
          <cell r="B2149">
            <v>2023</v>
          </cell>
          <cell r="C2149">
            <v>17</v>
          </cell>
          <cell r="E2149" t="str">
            <v>LV</v>
          </cell>
          <cell r="I2149">
            <v>20</v>
          </cell>
          <cell r="J2149">
            <v>23</v>
          </cell>
          <cell r="L2149">
            <v>0</v>
          </cell>
        </row>
        <row r="2150">
          <cell r="B2150">
            <v>2023</v>
          </cell>
          <cell r="C2150">
            <v>18</v>
          </cell>
          <cell r="E2150" t="str">
            <v>LV</v>
          </cell>
          <cell r="I2150">
            <v>27</v>
          </cell>
          <cell r="J2150">
            <v>14</v>
          </cell>
          <cell r="L2150">
            <v>0</v>
          </cell>
        </row>
        <row r="2151">
          <cell r="B2151">
            <v>2024</v>
          </cell>
          <cell r="C2151">
            <v>1</v>
          </cell>
          <cell r="E2151" t="str">
            <v>LV</v>
          </cell>
          <cell r="I2151">
            <v>10</v>
          </cell>
          <cell r="J2151">
            <v>22</v>
          </cell>
          <cell r="L2151">
            <v>0</v>
          </cell>
        </row>
        <row r="2152">
          <cell r="B2152">
            <v>2024</v>
          </cell>
          <cell r="C2152">
            <v>2</v>
          </cell>
          <cell r="E2152" t="str">
            <v>LV</v>
          </cell>
          <cell r="I2152">
            <v>26</v>
          </cell>
          <cell r="J2152">
            <v>23</v>
          </cell>
          <cell r="L2152">
            <v>0</v>
          </cell>
        </row>
        <row r="2153">
          <cell r="B2153">
            <v>2024</v>
          </cell>
          <cell r="C2153">
            <v>3</v>
          </cell>
          <cell r="E2153" t="str">
            <v>LV</v>
          </cell>
          <cell r="I2153">
            <v>22</v>
          </cell>
          <cell r="J2153">
            <v>36</v>
          </cell>
          <cell r="L2153">
            <v>0</v>
          </cell>
        </row>
        <row r="2154">
          <cell r="B2154">
            <v>2024</v>
          </cell>
          <cell r="C2154">
            <v>4</v>
          </cell>
          <cell r="E2154" t="str">
            <v>LV</v>
          </cell>
          <cell r="I2154">
            <v>20</v>
          </cell>
          <cell r="J2154">
            <v>16</v>
          </cell>
          <cell r="L2154">
            <v>0</v>
          </cell>
        </row>
        <row r="2155">
          <cell r="B2155">
            <v>2024</v>
          </cell>
          <cell r="C2155">
            <v>5</v>
          </cell>
          <cell r="E2155" t="str">
            <v>LV</v>
          </cell>
          <cell r="I2155">
            <v>18</v>
          </cell>
          <cell r="J2155">
            <v>34</v>
          </cell>
          <cell r="L2155">
            <v>0</v>
          </cell>
        </row>
        <row r="2156">
          <cell r="B2156">
            <v>2024</v>
          </cell>
          <cell r="C2156">
            <v>6</v>
          </cell>
          <cell r="E2156" t="str">
            <v>LV</v>
          </cell>
          <cell r="I2156">
            <v>13</v>
          </cell>
          <cell r="J2156">
            <v>32</v>
          </cell>
          <cell r="L2156">
            <v>0</v>
          </cell>
        </row>
        <row r="2157">
          <cell r="B2157">
            <v>2024</v>
          </cell>
          <cell r="C2157">
            <v>7</v>
          </cell>
          <cell r="E2157" t="str">
            <v>LV</v>
          </cell>
          <cell r="I2157">
            <v>15</v>
          </cell>
          <cell r="J2157">
            <v>20</v>
          </cell>
          <cell r="L2157">
            <v>0</v>
          </cell>
        </row>
        <row r="2158">
          <cell r="B2158">
            <v>2024</v>
          </cell>
          <cell r="C2158">
            <v>8</v>
          </cell>
          <cell r="E2158" t="str">
            <v>LV</v>
          </cell>
          <cell r="I2158">
            <v>20</v>
          </cell>
          <cell r="J2158">
            <v>27</v>
          </cell>
          <cell r="L2158">
            <v>0</v>
          </cell>
        </row>
        <row r="2159">
          <cell r="B2159">
            <v>2024</v>
          </cell>
          <cell r="C2159">
            <v>9</v>
          </cell>
          <cell r="E2159" t="str">
            <v>LV</v>
          </cell>
          <cell r="I2159">
            <v>24</v>
          </cell>
          <cell r="J2159">
            <v>41</v>
          </cell>
          <cell r="L2159">
            <v>0</v>
          </cell>
        </row>
        <row r="2160">
          <cell r="B2160">
            <v>2024</v>
          </cell>
          <cell r="C2160">
            <v>11</v>
          </cell>
          <cell r="E2160" t="str">
            <v>LV</v>
          </cell>
          <cell r="I2160">
            <v>19</v>
          </cell>
          <cell r="J2160">
            <v>34</v>
          </cell>
          <cell r="L2160">
            <v>0</v>
          </cell>
        </row>
        <row r="2161">
          <cell r="B2161">
            <v>2024</v>
          </cell>
          <cell r="C2161">
            <v>12</v>
          </cell>
          <cell r="E2161" t="str">
            <v>LV</v>
          </cell>
          <cell r="I2161">
            <v>19</v>
          </cell>
          <cell r="J2161">
            <v>29</v>
          </cell>
          <cell r="L2161">
            <v>0</v>
          </cell>
        </row>
        <row r="2162">
          <cell r="B2162">
            <v>2024</v>
          </cell>
          <cell r="C2162">
            <v>13</v>
          </cell>
          <cell r="E2162" t="str">
            <v>LV</v>
          </cell>
          <cell r="I2162">
            <v>17</v>
          </cell>
          <cell r="J2162">
            <v>19</v>
          </cell>
          <cell r="L2162">
            <v>0</v>
          </cell>
        </row>
        <row r="2163">
          <cell r="B2163">
            <v>2024</v>
          </cell>
          <cell r="C2163">
            <v>14</v>
          </cell>
          <cell r="E2163" t="str">
            <v>LV</v>
          </cell>
          <cell r="I2163">
            <v>13</v>
          </cell>
          <cell r="J2163">
            <v>28</v>
          </cell>
          <cell r="L2163">
            <v>0</v>
          </cell>
        </row>
        <row r="2164">
          <cell r="B2164">
            <v>2024</v>
          </cell>
          <cell r="C2164">
            <v>15</v>
          </cell>
          <cell r="E2164" t="str">
            <v>LV</v>
          </cell>
          <cell r="I2164">
            <v>9</v>
          </cell>
          <cell r="J2164">
            <v>15</v>
          </cell>
          <cell r="L2164">
            <v>0</v>
          </cell>
        </row>
        <row r="2165">
          <cell r="B2165">
            <v>2024</v>
          </cell>
          <cell r="C2165">
            <v>16</v>
          </cell>
          <cell r="E2165" t="str">
            <v>LV</v>
          </cell>
          <cell r="I2165">
            <v>19</v>
          </cell>
          <cell r="J2165">
            <v>14</v>
          </cell>
          <cell r="L2165">
            <v>0</v>
          </cell>
        </row>
        <row r="2166">
          <cell r="B2166">
            <v>2024</v>
          </cell>
          <cell r="C2166">
            <v>17</v>
          </cell>
          <cell r="E2166" t="str">
            <v>LV</v>
          </cell>
          <cell r="I2166">
            <v>25</v>
          </cell>
          <cell r="J2166">
            <v>10</v>
          </cell>
          <cell r="L2166">
            <v>0</v>
          </cell>
        </row>
        <row r="2167">
          <cell r="B2167">
            <v>2024</v>
          </cell>
          <cell r="C2167">
            <v>18</v>
          </cell>
          <cell r="E2167" t="str">
            <v>LV</v>
          </cell>
          <cell r="I2167">
            <v>20</v>
          </cell>
          <cell r="J2167">
            <v>34</v>
          </cell>
          <cell r="L2167">
            <v>0</v>
          </cell>
        </row>
        <row r="2168">
          <cell r="B2168">
            <v>2025</v>
          </cell>
          <cell r="C2168">
            <v>1</v>
          </cell>
          <cell r="E2168" t="str">
            <v>LV</v>
          </cell>
          <cell r="I2168">
            <v>20</v>
          </cell>
          <cell r="J2168">
            <v>13</v>
          </cell>
          <cell r="L2168">
            <v>0</v>
          </cell>
        </row>
        <row r="2169">
          <cell r="B2169">
            <v>2025</v>
          </cell>
          <cell r="C2169">
            <v>2</v>
          </cell>
          <cell r="E2169" t="str">
            <v>LV</v>
          </cell>
          <cell r="I2169">
            <v>9</v>
          </cell>
          <cell r="J2169">
            <v>20</v>
          </cell>
          <cell r="L2169">
            <v>0</v>
          </cell>
        </row>
        <row r="2170">
          <cell r="B2170">
            <v>2025</v>
          </cell>
          <cell r="C2170">
            <v>3</v>
          </cell>
          <cell r="E2170" t="str">
            <v>LV</v>
          </cell>
          <cell r="I2170">
            <v>24</v>
          </cell>
          <cell r="J2170">
            <v>41</v>
          </cell>
          <cell r="L2170">
            <v>0</v>
          </cell>
        </row>
        <row r="2171">
          <cell r="B2171">
            <v>2025</v>
          </cell>
          <cell r="C2171">
            <v>4</v>
          </cell>
          <cell r="E2171" t="str">
            <v>LV</v>
          </cell>
          <cell r="I2171">
            <v>24</v>
          </cell>
          <cell r="J2171">
            <v>25</v>
          </cell>
          <cell r="L2171">
            <v>0</v>
          </cell>
        </row>
        <row r="2172">
          <cell r="B2172">
            <v>2025</v>
          </cell>
          <cell r="C2172">
            <v>5</v>
          </cell>
          <cell r="E2172" t="str">
            <v>LV</v>
          </cell>
          <cell r="I2172">
            <v>6</v>
          </cell>
          <cell r="J2172">
            <v>40</v>
          </cell>
          <cell r="L2172">
            <v>0</v>
          </cell>
        </row>
        <row r="2173">
          <cell r="B2173">
            <v>2025</v>
          </cell>
          <cell r="C2173">
            <v>6</v>
          </cell>
          <cell r="E2173" t="str">
            <v>LV</v>
          </cell>
          <cell r="I2173">
            <v>20</v>
          </cell>
          <cell r="J2173">
            <v>10</v>
          </cell>
          <cell r="L2173">
            <v>0</v>
          </cell>
        </row>
        <row r="2174">
          <cell r="B2174">
            <v>2025</v>
          </cell>
          <cell r="C2174">
            <v>7</v>
          </cell>
          <cell r="E2174" t="str">
            <v>LV</v>
          </cell>
          <cell r="I2174">
            <v>0</v>
          </cell>
          <cell r="J2174">
            <v>31</v>
          </cell>
          <cell r="L2174">
            <v>0</v>
          </cell>
        </row>
        <row r="2175">
          <cell r="B2175">
            <v>2025</v>
          </cell>
          <cell r="C2175">
            <v>9</v>
          </cell>
          <cell r="E2175" t="str">
            <v>LV</v>
          </cell>
          <cell r="I2175">
            <v>29</v>
          </cell>
          <cell r="J2175">
            <v>30</v>
          </cell>
          <cell r="L2175">
            <v>0</v>
          </cell>
        </row>
        <row r="2176">
          <cell r="B2176">
            <v>2025</v>
          </cell>
          <cell r="C2176">
            <v>10</v>
          </cell>
          <cell r="E2176" t="str">
            <v>LV</v>
          </cell>
          <cell r="I2176">
            <v>7</v>
          </cell>
          <cell r="J2176">
            <v>10</v>
          </cell>
          <cell r="L2176">
            <v>0</v>
          </cell>
        </row>
        <row r="2177">
          <cell r="B2177">
            <v>2025</v>
          </cell>
          <cell r="C2177">
            <v>11</v>
          </cell>
          <cell r="E2177" t="str">
            <v>LV</v>
          </cell>
          <cell r="I2177">
            <v>16</v>
          </cell>
          <cell r="J2177">
            <v>33</v>
          </cell>
          <cell r="L2177">
            <v>0</v>
          </cell>
        </row>
        <row r="2178">
          <cell r="B2178">
            <v>2025</v>
          </cell>
          <cell r="C2178">
            <v>12</v>
          </cell>
          <cell r="E2178" t="str">
            <v>LV</v>
          </cell>
          <cell r="I2178">
            <v>10</v>
          </cell>
          <cell r="J2178">
            <v>24</v>
          </cell>
          <cell r="L2178">
            <v>0</v>
          </cell>
        </row>
        <row r="2179">
          <cell r="B2179">
            <v>2025</v>
          </cell>
          <cell r="C2179">
            <v>13</v>
          </cell>
          <cell r="E2179" t="str">
            <v>LV</v>
          </cell>
          <cell r="I2179">
            <v>14</v>
          </cell>
          <cell r="J2179">
            <v>31</v>
          </cell>
          <cell r="L2179">
            <v>0</v>
          </cell>
        </row>
        <row r="2180">
          <cell r="B2180">
            <v>2025</v>
          </cell>
          <cell r="C2180">
            <v>14</v>
          </cell>
          <cell r="E2180" t="str">
            <v>LV</v>
          </cell>
          <cell r="I2180">
            <v>17</v>
          </cell>
          <cell r="J2180">
            <v>24</v>
          </cell>
          <cell r="L2180">
            <v>0</v>
          </cell>
        </row>
        <row r="2181">
          <cell r="B2181">
            <v>2025</v>
          </cell>
          <cell r="C2181">
            <v>15</v>
          </cell>
          <cell r="E2181" t="str">
            <v>LV</v>
          </cell>
          <cell r="I2181">
            <v>0</v>
          </cell>
          <cell r="J2181">
            <v>31</v>
          </cell>
          <cell r="L2181">
            <v>0</v>
          </cell>
        </row>
        <row r="2182">
          <cell r="B2182">
            <v>2025</v>
          </cell>
          <cell r="C2182">
            <v>16</v>
          </cell>
          <cell r="E2182" t="str">
            <v>LV</v>
          </cell>
          <cell r="I2182">
            <v>21</v>
          </cell>
          <cell r="J2182">
            <v>23</v>
          </cell>
          <cell r="L2182">
            <v>0</v>
          </cell>
        </row>
        <row r="2183">
          <cell r="B2183">
            <v>2025</v>
          </cell>
          <cell r="C2183">
            <v>17</v>
          </cell>
          <cell r="E2183" t="str">
            <v>LV</v>
          </cell>
          <cell r="I2183">
            <v>10</v>
          </cell>
          <cell r="J2183">
            <v>34</v>
          </cell>
          <cell r="L2183">
            <v>0</v>
          </cell>
        </row>
        <row r="2184">
          <cell r="B2184">
            <v>2025</v>
          </cell>
          <cell r="C2184">
            <v>18</v>
          </cell>
          <cell r="E2184" t="str">
            <v>LV</v>
          </cell>
          <cell r="I2184">
            <v>14</v>
          </cell>
          <cell r="J2184">
            <v>12</v>
          </cell>
          <cell r="L2184">
            <v>0</v>
          </cell>
        </row>
        <row r="2185">
          <cell r="B2185">
            <v>2026</v>
          </cell>
          <cell r="C2185">
            <v>1</v>
          </cell>
          <cell r="E2185" t="str">
            <v>LV</v>
          </cell>
          <cell r="I2185">
            <v>27</v>
          </cell>
          <cell r="J2185">
            <v>13</v>
          </cell>
          <cell r="L2185">
            <v>0</v>
          </cell>
        </row>
        <row r="2186">
          <cell r="B2186">
            <v>2026</v>
          </cell>
          <cell r="C2186">
            <v>2</v>
          </cell>
          <cell r="E2186" t="str">
            <v>LV</v>
          </cell>
          <cell r="I2186">
            <v>26</v>
          </cell>
          <cell r="J2186">
            <v>14</v>
          </cell>
          <cell r="L2186">
            <v>0</v>
          </cell>
        </row>
        <row r="2187">
          <cell r="B2187">
            <v>2026</v>
          </cell>
          <cell r="C2187">
            <v>3</v>
          </cell>
          <cell r="E2187" t="str">
            <v>LV</v>
          </cell>
          <cell r="I2187">
            <v>35</v>
          </cell>
          <cell r="J2187">
            <v>27</v>
          </cell>
          <cell r="L2187">
            <v>0</v>
          </cell>
        </row>
        <row r="2188">
          <cell r="B2188">
            <v>2026</v>
          </cell>
          <cell r="C2188">
            <v>4</v>
          </cell>
          <cell r="E2188" t="str">
            <v>LV</v>
          </cell>
          <cell r="I2188">
            <v>27</v>
          </cell>
          <cell r="J2188">
            <v>30</v>
          </cell>
          <cell r="L2188">
            <v>0</v>
          </cell>
        </row>
        <row r="2189">
          <cell r="B2189">
            <v>2026</v>
          </cell>
          <cell r="C2189">
            <v>5</v>
          </cell>
          <cell r="E2189" t="str">
            <v>LV</v>
          </cell>
          <cell r="I2189">
            <v>17</v>
          </cell>
          <cell r="J2189">
            <v>45</v>
          </cell>
          <cell r="L2189">
            <v>0</v>
          </cell>
        </row>
        <row r="2190">
          <cell r="B2190">
            <v>2026</v>
          </cell>
          <cell r="C2190">
            <v>6</v>
          </cell>
          <cell r="E2190" t="str">
            <v>LV</v>
          </cell>
          <cell r="I2190">
            <v>30</v>
          </cell>
          <cell r="J2190">
            <v>33</v>
          </cell>
          <cell r="L2190">
            <v>0</v>
          </cell>
        </row>
        <row r="2191">
          <cell r="B2191">
            <v>2026</v>
          </cell>
          <cell r="C2191">
            <v>7</v>
          </cell>
          <cell r="E2191" t="str">
            <v>LV</v>
          </cell>
          <cell r="L2191">
            <v>0</v>
          </cell>
        </row>
        <row r="2192">
          <cell r="B2192">
            <v>2018</v>
          </cell>
          <cell r="C2192">
            <v>1</v>
          </cell>
          <cell r="E2192" t="str">
            <v>LAC</v>
          </cell>
          <cell r="I2192">
            <v>28</v>
          </cell>
          <cell r="J2192">
            <v>38</v>
          </cell>
          <cell r="L2192">
            <v>0</v>
          </cell>
        </row>
        <row r="2193">
          <cell r="B2193">
            <v>2018</v>
          </cell>
          <cell r="C2193">
            <v>2</v>
          </cell>
          <cell r="E2193" t="str">
            <v>LAC</v>
          </cell>
          <cell r="I2193">
            <v>31</v>
          </cell>
          <cell r="J2193">
            <v>20</v>
          </cell>
          <cell r="L2193">
            <v>0</v>
          </cell>
        </row>
        <row r="2194">
          <cell r="B2194">
            <v>2018</v>
          </cell>
          <cell r="C2194">
            <v>3</v>
          </cell>
          <cell r="E2194" t="str">
            <v>LAC</v>
          </cell>
          <cell r="I2194">
            <v>23</v>
          </cell>
          <cell r="J2194">
            <v>35</v>
          </cell>
          <cell r="L2194">
            <v>0</v>
          </cell>
        </row>
        <row r="2195">
          <cell r="B2195">
            <v>2018</v>
          </cell>
          <cell r="C2195">
            <v>4</v>
          </cell>
          <cell r="E2195" t="str">
            <v>LAC</v>
          </cell>
          <cell r="I2195">
            <v>29</v>
          </cell>
          <cell r="J2195">
            <v>27</v>
          </cell>
          <cell r="L2195">
            <v>0</v>
          </cell>
        </row>
        <row r="2196">
          <cell r="B2196">
            <v>2018</v>
          </cell>
          <cell r="C2196">
            <v>5</v>
          </cell>
          <cell r="E2196" t="str">
            <v>LAC</v>
          </cell>
          <cell r="I2196">
            <v>26</v>
          </cell>
          <cell r="J2196">
            <v>10</v>
          </cell>
          <cell r="L2196">
            <v>0</v>
          </cell>
        </row>
        <row r="2197">
          <cell r="B2197">
            <v>2018</v>
          </cell>
          <cell r="C2197">
            <v>6</v>
          </cell>
          <cell r="E2197" t="str">
            <v>LAC</v>
          </cell>
          <cell r="I2197">
            <v>38</v>
          </cell>
          <cell r="J2197">
            <v>14</v>
          </cell>
          <cell r="L2197">
            <v>0</v>
          </cell>
        </row>
        <row r="2198">
          <cell r="B2198">
            <v>2018</v>
          </cell>
          <cell r="C2198">
            <v>7</v>
          </cell>
          <cell r="E2198" t="str">
            <v>LAC</v>
          </cell>
          <cell r="I2198">
            <v>20</v>
          </cell>
          <cell r="J2198">
            <v>19</v>
          </cell>
          <cell r="L2198">
            <v>0</v>
          </cell>
        </row>
        <row r="2199">
          <cell r="B2199">
            <v>2018</v>
          </cell>
          <cell r="C2199">
            <v>9</v>
          </cell>
          <cell r="E2199" t="str">
            <v>LAC</v>
          </cell>
          <cell r="I2199">
            <v>25</v>
          </cell>
          <cell r="J2199">
            <v>17</v>
          </cell>
          <cell r="L2199">
            <v>0</v>
          </cell>
        </row>
        <row r="2200">
          <cell r="B2200">
            <v>2018</v>
          </cell>
          <cell r="C2200">
            <v>10</v>
          </cell>
          <cell r="E2200" t="str">
            <v>LAC</v>
          </cell>
          <cell r="I2200">
            <v>20</v>
          </cell>
          <cell r="J2200">
            <v>6</v>
          </cell>
          <cell r="L2200">
            <v>0</v>
          </cell>
        </row>
        <row r="2201">
          <cell r="B2201">
            <v>2018</v>
          </cell>
          <cell r="C2201">
            <v>11</v>
          </cell>
          <cell r="E2201" t="str">
            <v>LAC</v>
          </cell>
          <cell r="I2201">
            <v>22</v>
          </cell>
          <cell r="J2201">
            <v>23</v>
          </cell>
          <cell r="L2201">
            <v>0</v>
          </cell>
        </row>
        <row r="2202">
          <cell r="B2202">
            <v>2018</v>
          </cell>
          <cell r="C2202">
            <v>12</v>
          </cell>
          <cell r="E2202" t="str">
            <v>LAC</v>
          </cell>
          <cell r="I2202">
            <v>45</v>
          </cell>
          <cell r="J2202">
            <v>10</v>
          </cell>
          <cell r="L2202">
            <v>0</v>
          </cell>
        </row>
        <row r="2203">
          <cell r="B2203">
            <v>2018</v>
          </cell>
          <cell r="C2203">
            <v>13</v>
          </cell>
          <cell r="E2203" t="str">
            <v>LAC</v>
          </cell>
          <cell r="I2203">
            <v>33</v>
          </cell>
          <cell r="J2203">
            <v>30</v>
          </cell>
          <cell r="L2203">
            <v>0</v>
          </cell>
        </row>
        <row r="2204">
          <cell r="B2204">
            <v>2018</v>
          </cell>
          <cell r="C2204">
            <v>14</v>
          </cell>
          <cell r="E2204" t="str">
            <v>LAC</v>
          </cell>
          <cell r="I2204">
            <v>26</v>
          </cell>
          <cell r="J2204">
            <v>21</v>
          </cell>
          <cell r="L2204">
            <v>0</v>
          </cell>
        </row>
        <row r="2205">
          <cell r="B2205">
            <v>2018</v>
          </cell>
          <cell r="C2205">
            <v>15</v>
          </cell>
          <cell r="E2205" t="str">
            <v>LAC</v>
          </cell>
          <cell r="I2205">
            <v>29</v>
          </cell>
          <cell r="J2205">
            <v>28</v>
          </cell>
          <cell r="L2205">
            <v>0</v>
          </cell>
        </row>
        <row r="2206">
          <cell r="B2206">
            <v>2018</v>
          </cell>
          <cell r="C2206">
            <v>16</v>
          </cell>
          <cell r="E2206" t="str">
            <v>LAC</v>
          </cell>
          <cell r="I2206">
            <v>10</v>
          </cell>
          <cell r="J2206">
            <v>22</v>
          </cell>
          <cell r="L2206">
            <v>0</v>
          </cell>
        </row>
        <row r="2207">
          <cell r="B2207">
            <v>2018</v>
          </cell>
          <cell r="C2207">
            <v>17</v>
          </cell>
          <cell r="E2207" t="str">
            <v>LAC</v>
          </cell>
          <cell r="I2207">
            <v>23</v>
          </cell>
          <cell r="J2207">
            <v>9</v>
          </cell>
          <cell r="L2207">
            <v>0</v>
          </cell>
        </row>
        <row r="2208">
          <cell r="B2208">
            <v>2018</v>
          </cell>
          <cell r="C2208">
            <v>1</v>
          </cell>
          <cell r="E2208" t="str">
            <v>LAC</v>
          </cell>
          <cell r="I2208">
            <v>23</v>
          </cell>
          <cell r="J2208">
            <v>17</v>
          </cell>
          <cell r="L2208">
            <v>1</v>
          </cell>
        </row>
        <row r="2209">
          <cell r="B2209">
            <v>2018</v>
          </cell>
          <cell r="C2209">
            <v>2</v>
          </cell>
          <cell r="E2209" t="str">
            <v>LAC</v>
          </cell>
          <cell r="I2209">
            <v>28</v>
          </cell>
          <cell r="J2209">
            <v>41</v>
          </cell>
          <cell r="L2209">
            <v>1</v>
          </cell>
        </row>
        <row r="2210">
          <cell r="B2210">
            <v>2019</v>
          </cell>
          <cell r="C2210">
            <v>1</v>
          </cell>
          <cell r="E2210" t="str">
            <v>LAC</v>
          </cell>
          <cell r="I2210">
            <v>30</v>
          </cell>
          <cell r="J2210">
            <v>24</v>
          </cell>
          <cell r="L2210">
            <v>0</v>
          </cell>
        </row>
        <row r="2211">
          <cell r="B2211">
            <v>2019</v>
          </cell>
          <cell r="C2211">
            <v>2</v>
          </cell>
          <cell r="E2211" t="str">
            <v>LAC</v>
          </cell>
          <cell r="I2211">
            <v>10</v>
          </cell>
          <cell r="J2211">
            <v>13</v>
          </cell>
          <cell r="L2211">
            <v>0</v>
          </cell>
        </row>
        <row r="2212">
          <cell r="B2212">
            <v>2019</v>
          </cell>
          <cell r="C2212">
            <v>3</v>
          </cell>
          <cell r="E2212" t="str">
            <v>LAC</v>
          </cell>
          <cell r="I2212">
            <v>20</v>
          </cell>
          <cell r="J2212">
            <v>27</v>
          </cell>
          <cell r="L2212">
            <v>0</v>
          </cell>
        </row>
        <row r="2213">
          <cell r="B2213">
            <v>2019</v>
          </cell>
          <cell r="C2213">
            <v>4</v>
          </cell>
          <cell r="E2213" t="str">
            <v>LAC</v>
          </cell>
          <cell r="I2213">
            <v>30</v>
          </cell>
          <cell r="J2213">
            <v>10</v>
          </cell>
          <cell r="L2213">
            <v>0</v>
          </cell>
        </row>
        <row r="2214">
          <cell r="B2214">
            <v>2019</v>
          </cell>
          <cell r="C2214">
            <v>5</v>
          </cell>
          <cell r="E2214" t="str">
            <v>LAC</v>
          </cell>
          <cell r="I2214">
            <v>13</v>
          </cell>
          <cell r="J2214">
            <v>20</v>
          </cell>
          <cell r="L2214">
            <v>0</v>
          </cell>
        </row>
        <row r="2215">
          <cell r="B2215">
            <v>2019</v>
          </cell>
          <cell r="C2215">
            <v>6</v>
          </cell>
          <cell r="E2215" t="str">
            <v>LAC</v>
          </cell>
          <cell r="I2215">
            <v>17</v>
          </cell>
          <cell r="J2215">
            <v>24</v>
          </cell>
          <cell r="L2215">
            <v>0</v>
          </cell>
        </row>
        <row r="2216">
          <cell r="B2216">
            <v>2019</v>
          </cell>
          <cell r="C2216">
            <v>7</v>
          </cell>
          <cell r="E2216" t="str">
            <v>LAC</v>
          </cell>
          <cell r="I2216">
            <v>20</v>
          </cell>
          <cell r="J2216">
            <v>23</v>
          </cell>
          <cell r="L2216">
            <v>0</v>
          </cell>
        </row>
        <row r="2217">
          <cell r="B2217">
            <v>2019</v>
          </cell>
          <cell r="C2217">
            <v>8</v>
          </cell>
          <cell r="E2217" t="str">
            <v>LAC</v>
          </cell>
          <cell r="I2217">
            <v>17</v>
          </cell>
          <cell r="J2217">
            <v>16</v>
          </cell>
          <cell r="L2217">
            <v>0</v>
          </cell>
        </row>
        <row r="2218">
          <cell r="B2218">
            <v>2019</v>
          </cell>
          <cell r="C2218">
            <v>9</v>
          </cell>
          <cell r="E2218" t="str">
            <v>LAC</v>
          </cell>
          <cell r="I2218">
            <v>26</v>
          </cell>
          <cell r="J2218">
            <v>11</v>
          </cell>
          <cell r="L2218">
            <v>0</v>
          </cell>
        </row>
        <row r="2219">
          <cell r="B2219">
            <v>2019</v>
          </cell>
          <cell r="C2219">
            <v>10</v>
          </cell>
          <cell r="E2219" t="str">
            <v>LAC</v>
          </cell>
          <cell r="I2219">
            <v>24</v>
          </cell>
          <cell r="J2219">
            <v>26</v>
          </cell>
          <cell r="L2219">
            <v>0</v>
          </cell>
        </row>
        <row r="2220">
          <cell r="B2220">
            <v>2019</v>
          </cell>
          <cell r="C2220">
            <v>11</v>
          </cell>
          <cell r="E2220" t="str">
            <v>LAC</v>
          </cell>
          <cell r="I2220">
            <v>17</v>
          </cell>
          <cell r="J2220">
            <v>24</v>
          </cell>
          <cell r="L2220">
            <v>0</v>
          </cell>
        </row>
        <row r="2221">
          <cell r="B2221">
            <v>2019</v>
          </cell>
          <cell r="C2221">
            <v>13</v>
          </cell>
          <cell r="E2221" t="str">
            <v>LAC</v>
          </cell>
          <cell r="I2221">
            <v>20</v>
          </cell>
          <cell r="J2221">
            <v>23</v>
          </cell>
          <cell r="L2221">
            <v>0</v>
          </cell>
        </row>
        <row r="2222">
          <cell r="B2222">
            <v>2019</v>
          </cell>
          <cell r="C2222">
            <v>14</v>
          </cell>
          <cell r="E2222" t="str">
            <v>LAC</v>
          </cell>
          <cell r="I2222">
            <v>45</v>
          </cell>
          <cell r="J2222">
            <v>10</v>
          </cell>
          <cell r="L2222">
            <v>0</v>
          </cell>
        </row>
        <row r="2223">
          <cell r="B2223">
            <v>2019</v>
          </cell>
          <cell r="C2223">
            <v>15</v>
          </cell>
          <cell r="E2223" t="str">
            <v>LAC</v>
          </cell>
          <cell r="I2223">
            <v>10</v>
          </cell>
          <cell r="J2223">
            <v>39</v>
          </cell>
          <cell r="L2223">
            <v>0</v>
          </cell>
        </row>
        <row r="2224">
          <cell r="B2224">
            <v>2019</v>
          </cell>
          <cell r="C2224">
            <v>16</v>
          </cell>
          <cell r="E2224" t="str">
            <v>LAC</v>
          </cell>
          <cell r="I2224">
            <v>17</v>
          </cell>
          <cell r="J2224">
            <v>24</v>
          </cell>
          <cell r="L2224">
            <v>0</v>
          </cell>
        </row>
        <row r="2225">
          <cell r="B2225">
            <v>2019</v>
          </cell>
          <cell r="C2225">
            <v>17</v>
          </cell>
          <cell r="E2225" t="str">
            <v>LAC</v>
          </cell>
          <cell r="I2225">
            <v>21</v>
          </cell>
          <cell r="J2225">
            <v>31</v>
          </cell>
          <cell r="L2225">
            <v>0</v>
          </cell>
        </row>
        <row r="2226">
          <cell r="B2226">
            <v>2020</v>
          </cell>
          <cell r="C2226">
            <v>1</v>
          </cell>
          <cell r="E2226" t="str">
            <v>LAC</v>
          </cell>
          <cell r="I2226">
            <v>16</v>
          </cell>
          <cell r="J2226">
            <v>13</v>
          </cell>
          <cell r="L2226">
            <v>0</v>
          </cell>
        </row>
        <row r="2227">
          <cell r="B2227">
            <v>2020</v>
          </cell>
          <cell r="C2227">
            <v>2</v>
          </cell>
          <cell r="E2227" t="str">
            <v>LAC</v>
          </cell>
          <cell r="I2227">
            <v>20</v>
          </cell>
          <cell r="J2227">
            <v>23</v>
          </cell>
          <cell r="L2227">
            <v>0</v>
          </cell>
        </row>
        <row r="2228">
          <cell r="B2228">
            <v>2020</v>
          </cell>
          <cell r="C2228">
            <v>3</v>
          </cell>
          <cell r="E2228" t="str">
            <v>LAC</v>
          </cell>
          <cell r="I2228">
            <v>16</v>
          </cell>
          <cell r="J2228">
            <v>21</v>
          </cell>
          <cell r="L2228">
            <v>0</v>
          </cell>
        </row>
        <row r="2229">
          <cell r="B2229">
            <v>2020</v>
          </cell>
          <cell r="C2229">
            <v>4</v>
          </cell>
          <cell r="E2229" t="str">
            <v>LAC</v>
          </cell>
          <cell r="I2229">
            <v>31</v>
          </cell>
          <cell r="J2229">
            <v>38</v>
          </cell>
          <cell r="L2229">
            <v>0</v>
          </cell>
        </row>
        <row r="2230">
          <cell r="B2230">
            <v>2020</v>
          </cell>
          <cell r="C2230">
            <v>5</v>
          </cell>
          <cell r="E2230" t="str">
            <v>LAC</v>
          </cell>
          <cell r="I2230">
            <v>27</v>
          </cell>
          <cell r="J2230">
            <v>30</v>
          </cell>
          <cell r="L2230">
            <v>0</v>
          </cell>
        </row>
        <row r="2231">
          <cell r="B2231">
            <v>2020</v>
          </cell>
          <cell r="C2231">
            <v>7</v>
          </cell>
          <cell r="E2231" t="str">
            <v>LAC</v>
          </cell>
          <cell r="I2231">
            <v>39</v>
          </cell>
          <cell r="J2231">
            <v>29</v>
          </cell>
          <cell r="L2231">
            <v>0</v>
          </cell>
        </row>
        <row r="2232">
          <cell r="B2232">
            <v>2020</v>
          </cell>
          <cell r="C2232">
            <v>8</v>
          </cell>
          <cell r="E2232" t="str">
            <v>LAC</v>
          </cell>
          <cell r="I2232">
            <v>30</v>
          </cell>
          <cell r="J2232">
            <v>31</v>
          </cell>
          <cell r="L2232">
            <v>0</v>
          </cell>
        </row>
        <row r="2233">
          <cell r="B2233">
            <v>2020</v>
          </cell>
          <cell r="C2233">
            <v>9</v>
          </cell>
          <cell r="E2233" t="str">
            <v>LAC</v>
          </cell>
          <cell r="I2233">
            <v>26</v>
          </cell>
          <cell r="J2233">
            <v>31</v>
          </cell>
          <cell r="L2233">
            <v>0</v>
          </cell>
        </row>
        <row r="2234">
          <cell r="B2234">
            <v>2020</v>
          </cell>
          <cell r="C2234">
            <v>10</v>
          </cell>
          <cell r="E2234" t="str">
            <v>LAC</v>
          </cell>
          <cell r="I2234">
            <v>21</v>
          </cell>
          <cell r="J2234">
            <v>29</v>
          </cell>
          <cell r="L2234">
            <v>0</v>
          </cell>
        </row>
        <row r="2235">
          <cell r="B2235">
            <v>2020</v>
          </cell>
          <cell r="C2235">
            <v>11</v>
          </cell>
          <cell r="E2235" t="str">
            <v>LAC</v>
          </cell>
          <cell r="I2235">
            <v>34</v>
          </cell>
          <cell r="J2235">
            <v>28</v>
          </cell>
          <cell r="L2235">
            <v>0</v>
          </cell>
        </row>
        <row r="2236">
          <cell r="B2236">
            <v>2020</v>
          </cell>
          <cell r="C2236">
            <v>12</v>
          </cell>
          <cell r="E2236" t="str">
            <v>LAC</v>
          </cell>
          <cell r="I2236">
            <v>17</v>
          </cell>
          <cell r="J2236">
            <v>27</v>
          </cell>
          <cell r="L2236">
            <v>0</v>
          </cell>
        </row>
        <row r="2237">
          <cell r="B2237">
            <v>2020</v>
          </cell>
          <cell r="C2237">
            <v>13</v>
          </cell>
          <cell r="E2237" t="str">
            <v>LAC</v>
          </cell>
          <cell r="I2237">
            <v>0</v>
          </cell>
          <cell r="J2237">
            <v>45</v>
          </cell>
          <cell r="L2237">
            <v>0</v>
          </cell>
        </row>
        <row r="2238">
          <cell r="B2238">
            <v>2020</v>
          </cell>
          <cell r="C2238">
            <v>14</v>
          </cell>
          <cell r="E2238" t="str">
            <v>LAC</v>
          </cell>
          <cell r="I2238">
            <v>20</v>
          </cell>
          <cell r="J2238">
            <v>17</v>
          </cell>
          <cell r="L2238">
            <v>0</v>
          </cell>
        </row>
        <row r="2239">
          <cell r="B2239">
            <v>2020</v>
          </cell>
          <cell r="C2239">
            <v>15</v>
          </cell>
          <cell r="E2239" t="str">
            <v>LAC</v>
          </cell>
          <cell r="I2239">
            <v>30</v>
          </cell>
          <cell r="J2239">
            <v>27</v>
          </cell>
          <cell r="L2239">
            <v>0</v>
          </cell>
        </row>
        <row r="2240">
          <cell r="B2240">
            <v>2020</v>
          </cell>
          <cell r="C2240">
            <v>16</v>
          </cell>
          <cell r="E2240" t="str">
            <v>LAC</v>
          </cell>
          <cell r="I2240">
            <v>19</v>
          </cell>
          <cell r="J2240">
            <v>16</v>
          </cell>
          <cell r="L2240">
            <v>0</v>
          </cell>
        </row>
        <row r="2241">
          <cell r="B2241">
            <v>2020</v>
          </cell>
          <cell r="C2241">
            <v>17</v>
          </cell>
          <cell r="E2241" t="str">
            <v>LAC</v>
          </cell>
          <cell r="I2241">
            <v>38</v>
          </cell>
          <cell r="J2241">
            <v>21</v>
          </cell>
          <cell r="L2241">
            <v>0</v>
          </cell>
        </row>
        <row r="2242">
          <cell r="B2242">
            <v>2021</v>
          </cell>
          <cell r="C2242">
            <v>1</v>
          </cell>
          <cell r="E2242" t="str">
            <v>LAC</v>
          </cell>
          <cell r="I2242">
            <v>20</v>
          </cell>
          <cell r="J2242">
            <v>16</v>
          </cell>
          <cell r="L2242">
            <v>0</v>
          </cell>
        </row>
        <row r="2243">
          <cell r="B2243">
            <v>2021</v>
          </cell>
          <cell r="C2243">
            <v>2</v>
          </cell>
          <cell r="E2243" t="str">
            <v>LAC</v>
          </cell>
          <cell r="I2243">
            <v>17</v>
          </cell>
          <cell r="J2243">
            <v>20</v>
          </cell>
          <cell r="L2243">
            <v>0</v>
          </cell>
        </row>
        <row r="2244">
          <cell r="B2244">
            <v>2021</v>
          </cell>
          <cell r="C2244">
            <v>3</v>
          </cell>
          <cell r="E2244" t="str">
            <v>LAC</v>
          </cell>
          <cell r="I2244">
            <v>30</v>
          </cell>
          <cell r="J2244">
            <v>24</v>
          </cell>
          <cell r="L2244">
            <v>0</v>
          </cell>
        </row>
        <row r="2245">
          <cell r="B2245">
            <v>2021</v>
          </cell>
          <cell r="C2245">
            <v>4</v>
          </cell>
          <cell r="E2245" t="str">
            <v>LAC</v>
          </cell>
          <cell r="I2245">
            <v>28</v>
          </cell>
          <cell r="J2245">
            <v>14</v>
          </cell>
          <cell r="L2245">
            <v>0</v>
          </cell>
        </row>
        <row r="2246">
          <cell r="B2246">
            <v>2021</v>
          </cell>
          <cell r="C2246">
            <v>5</v>
          </cell>
          <cell r="E2246" t="str">
            <v>LAC</v>
          </cell>
          <cell r="I2246">
            <v>47</v>
          </cell>
          <cell r="J2246">
            <v>42</v>
          </cell>
          <cell r="L2246">
            <v>0</v>
          </cell>
        </row>
        <row r="2247">
          <cell r="B2247">
            <v>2021</v>
          </cell>
          <cell r="C2247">
            <v>6</v>
          </cell>
          <cell r="E2247" t="str">
            <v>LAC</v>
          </cell>
          <cell r="I2247">
            <v>6</v>
          </cell>
          <cell r="J2247">
            <v>34</v>
          </cell>
          <cell r="L2247">
            <v>0</v>
          </cell>
        </row>
        <row r="2248">
          <cell r="B2248">
            <v>2021</v>
          </cell>
          <cell r="C2248">
            <v>8</v>
          </cell>
          <cell r="E2248" t="str">
            <v>LAC</v>
          </cell>
          <cell r="I2248">
            <v>24</v>
          </cell>
          <cell r="J2248">
            <v>27</v>
          </cell>
          <cell r="L2248">
            <v>0</v>
          </cell>
        </row>
        <row r="2249">
          <cell r="B2249">
            <v>2021</v>
          </cell>
          <cell r="C2249">
            <v>9</v>
          </cell>
          <cell r="E2249" t="str">
            <v>LAC</v>
          </cell>
          <cell r="I2249">
            <v>27</v>
          </cell>
          <cell r="J2249">
            <v>24</v>
          </cell>
          <cell r="L2249">
            <v>0</v>
          </cell>
        </row>
        <row r="2250">
          <cell r="B2250">
            <v>2021</v>
          </cell>
          <cell r="C2250">
            <v>10</v>
          </cell>
          <cell r="E2250" t="str">
            <v>LAC</v>
          </cell>
          <cell r="I2250">
            <v>20</v>
          </cell>
          <cell r="J2250">
            <v>27</v>
          </cell>
          <cell r="L2250">
            <v>0</v>
          </cell>
        </row>
        <row r="2251">
          <cell r="B2251">
            <v>2021</v>
          </cell>
          <cell r="C2251">
            <v>11</v>
          </cell>
          <cell r="E2251" t="str">
            <v>LAC</v>
          </cell>
          <cell r="I2251">
            <v>41</v>
          </cell>
          <cell r="J2251">
            <v>37</v>
          </cell>
          <cell r="L2251">
            <v>0</v>
          </cell>
        </row>
        <row r="2252">
          <cell r="B2252">
            <v>2021</v>
          </cell>
          <cell r="C2252">
            <v>12</v>
          </cell>
          <cell r="E2252" t="str">
            <v>LAC</v>
          </cell>
          <cell r="I2252">
            <v>13</v>
          </cell>
          <cell r="J2252">
            <v>28</v>
          </cell>
          <cell r="L2252">
            <v>0</v>
          </cell>
        </row>
        <row r="2253">
          <cell r="B2253">
            <v>2021</v>
          </cell>
          <cell r="C2253">
            <v>13</v>
          </cell>
          <cell r="E2253" t="str">
            <v>LAC</v>
          </cell>
          <cell r="I2253">
            <v>41</v>
          </cell>
          <cell r="J2253">
            <v>22</v>
          </cell>
          <cell r="L2253">
            <v>0</v>
          </cell>
        </row>
        <row r="2254">
          <cell r="B2254">
            <v>2021</v>
          </cell>
          <cell r="C2254">
            <v>14</v>
          </cell>
          <cell r="E2254" t="str">
            <v>LAC</v>
          </cell>
          <cell r="I2254">
            <v>37</v>
          </cell>
          <cell r="J2254">
            <v>21</v>
          </cell>
          <cell r="L2254">
            <v>0</v>
          </cell>
        </row>
        <row r="2255">
          <cell r="B2255">
            <v>2021</v>
          </cell>
          <cell r="C2255">
            <v>15</v>
          </cell>
          <cell r="E2255" t="str">
            <v>LAC</v>
          </cell>
          <cell r="I2255">
            <v>28</v>
          </cell>
          <cell r="J2255">
            <v>34</v>
          </cell>
          <cell r="L2255">
            <v>0</v>
          </cell>
        </row>
        <row r="2256">
          <cell r="B2256">
            <v>2021</v>
          </cell>
          <cell r="C2256">
            <v>16</v>
          </cell>
          <cell r="E2256" t="str">
            <v>LAC</v>
          </cell>
          <cell r="I2256">
            <v>29</v>
          </cell>
          <cell r="J2256">
            <v>41</v>
          </cell>
          <cell r="L2256">
            <v>0</v>
          </cell>
        </row>
        <row r="2257">
          <cell r="B2257">
            <v>2021</v>
          </cell>
          <cell r="C2257">
            <v>17</v>
          </cell>
          <cell r="E2257" t="str">
            <v>LAC</v>
          </cell>
          <cell r="I2257">
            <v>34</v>
          </cell>
          <cell r="J2257">
            <v>13</v>
          </cell>
          <cell r="L2257">
            <v>0</v>
          </cell>
        </row>
        <row r="2258">
          <cell r="B2258">
            <v>2021</v>
          </cell>
          <cell r="C2258">
            <v>18</v>
          </cell>
          <cell r="E2258" t="str">
            <v>LAC</v>
          </cell>
          <cell r="I2258">
            <v>32</v>
          </cell>
          <cell r="J2258">
            <v>35</v>
          </cell>
          <cell r="L2258">
            <v>0</v>
          </cell>
        </row>
        <row r="2259">
          <cell r="B2259">
            <v>2022</v>
          </cell>
          <cell r="C2259">
            <v>1</v>
          </cell>
          <cell r="E2259" t="str">
            <v>LAC</v>
          </cell>
          <cell r="I2259">
            <v>24</v>
          </cell>
          <cell r="J2259">
            <v>19</v>
          </cell>
          <cell r="L2259">
            <v>0</v>
          </cell>
        </row>
        <row r="2260">
          <cell r="B2260">
            <v>2022</v>
          </cell>
          <cell r="C2260">
            <v>2</v>
          </cell>
          <cell r="E2260" t="str">
            <v>LAC</v>
          </cell>
          <cell r="I2260">
            <v>24</v>
          </cell>
          <cell r="J2260">
            <v>27</v>
          </cell>
          <cell r="L2260">
            <v>0</v>
          </cell>
        </row>
        <row r="2261">
          <cell r="B2261">
            <v>2022</v>
          </cell>
          <cell r="C2261">
            <v>3</v>
          </cell>
          <cell r="E2261" t="str">
            <v>LAC</v>
          </cell>
          <cell r="I2261">
            <v>10</v>
          </cell>
          <cell r="J2261">
            <v>38</v>
          </cell>
          <cell r="L2261">
            <v>0</v>
          </cell>
        </row>
        <row r="2262">
          <cell r="B2262">
            <v>2022</v>
          </cell>
          <cell r="C2262">
            <v>4</v>
          </cell>
          <cell r="E2262" t="str">
            <v>LAC</v>
          </cell>
          <cell r="I2262">
            <v>34</v>
          </cell>
          <cell r="J2262">
            <v>24</v>
          </cell>
          <cell r="L2262">
            <v>0</v>
          </cell>
        </row>
        <row r="2263">
          <cell r="B2263">
            <v>2022</v>
          </cell>
          <cell r="C2263">
            <v>5</v>
          </cell>
          <cell r="E2263" t="str">
            <v>LAC</v>
          </cell>
          <cell r="I2263">
            <v>30</v>
          </cell>
          <cell r="J2263">
            <v>28</v>
          </cell>
          <cell r="L2263">
            <v>0</v>
          </cell>
        </row>
        <row r="2264">
          <cell r="B2264">
            <v>2022</v>
          </cell>
          <cell r="C2264">
            <v>6</v>
          </cell>
          <cell r="E2264" t="str">
            <v>LAC</v>
          </cell>
          <cell r="I2264">
            <v>19</v>
          </cell>
          <cell r="J2264">
            <v>16</v>
          </cell>
          <cell r="L2264">
            <v>0</v>
          </cell>
        </row>
        <row r="2265">
          <cell r="B2265">
            <v>2022</v>
          </cell>
          <cell r="C2265">
            <v>7</v>
          </cell>
          <cell r="E2265" t="str">
            <v>LAC</v>
          </cell>
          <cell r="I2265">
            <v>23</v>
          </cell>
          <cell r="J2265">
            <v>37</v>
          </cell>
          <cell r="L2265">
            <v>0</v>
          </cell>
        </row>
        <row r="2266">
          <cell r="B2266">
            <v>2022</v>
          </cell>
          <cell r="C2266">
            <v>9</v>
          </cell>
          <cell r="E2266" t="str">
            <v>LAC</v>
          </cell>
          <cell r="I2266">
            <v>20</v>
          </cell>
          <cell r="J2266">
            <v>17</v>
          </cell>
          <cell r="L2266">
            <v>0</v>
          </cell>
        </row>
        <row r="2267">
          <cell r="B2267">
            <v>2022</v>
          </cell>
          <cell r="C2267">
            <v>10</v>
          </cell>
          <cell r="E2267" t="str">
            <v>LAC</v>
          </cell>
          <cell r="I2267">
            <v>16</v>
          </cell>
          <cell r="J2267">
            <v>22</v>
          </cell>
          <cell r="L2267">
            <v>0</v>
          </cell>
        </row>
        <row r="2268">
          <cell r="B2268">
            <v>2022</v>
          </cell>
          <cell r="C2268">
            <v>11</v>
          </cell>
          <cell r="E2268" t="str">
            <v>LAC</v>
          </cell>
          <cell r="I2268">
            <v>27</v>
          </cell>
          <cell r="J2268">
            <v>30</v>
          </cell>
          <cell r="L2268">
            <v>0</v>
          </cell>
        </row>
        <row r="2269">
          <cell r="B2269">
            <v>2022</v>
          </cell>
          <cell r="C2269">
            <v>12</v>
          </cell>
          <cell r="E2269" t="str">
            <v>LAC</v>
          </cell>
          <cell r="I2269">
            <v>25</v>
          </cell>
          <cell r="J2269">
            <v>24</v>
          </cell>
          <cell r="L2269">
            <v>0</v>
          </cell>
        </row>
        <row r="2270">
          <cell r="B2270">
            <v>2022</v>
          </cell>
          <cell r="C2270">
            <v>13</v>
          </cell>
          <cell r="E2270" t="str">
            <v>LAC</v>
          </cell>
          <cell r="I2270">
            <v>20</v>
          </cell>
          <cell r="J2270">
            <v>27</v>
          </cell>
          <cell r="L2270">
            <v>0</v>
          </cell>
        </row>
        <row r="2271">
          <cell r="B2271">
            <v>2022</v>
          </cell>
          <cell r="C2271">
            <v>14</v>
          </cell>
          <cell r="E2271" t="str">
            <v>LAC</v>
          </cell>
          <cell r="I2271">
            <v>23</v>
          </cell>
          <cell r="J2271">
            <v>17</v>
          </cell>
          <cell r="L2271">
            <v>0</v>
          </cell>
        </row>
        <row r="2272">
          <cell r="B2272">
            <v>2022</v>
          </cell>
          <cell r="C2272">
            <v>15</v>
          </cell>
          <cell r="E2272" t="str">
            <v>LAC</v>
          </cell>
          <cell r="I2272">
            <v>17</v>
          </cell>
          <cell r="J2272">
            <v>14</v>
          </cell>
          <cell r="L2272">
            <v>0</v>
          </cell>
        </row>
        <row r="2273">
          <cell r="B2273">
            <v>2022</v>
          </cell>
          <cell r="C2273">
            <v>16</v>
          </cell>
          <cell r="E2273" t="str">
            <v>LAC</v>
          </cell>
          <cell r="I2273">
            <v>20</v>
          </cell>
          <cell r="J2273">
            <v>3</v>
          </cell>
          <cell r="L2273">
            <v>0</v>
          </cell>
        </row>
        <row r="2274">
          <cell r="B2274">
            <v>2022</v>
          </cell>
          <cell r="C2274">
            <v>17</v>
          </cell>
          <cell r="E2274" t="str">
            <v>LAC</v>
          </cell>
          <cell r="I2274">
            <v>31</v>
          </cell>
          <cell r="J2274">
            <v>10</v>
          </cell>
          <cell r="L2274">
            <v>0</v>
          </cell>
        </row>
        <row r="2275">
          <cell r="B2275">
            <v>2022</v>
          </cell>
          <cell r="C2275">
            <v>18</v>
          </cell>
          <cell r="E2275" t="str">
            <v>LAC</v>
          </cell>
          <cell r="I2275">
            <v>28</v>
          </cell>
          <cell r="J2275">
            <v>31</v>
          </cell>
          <cell r="L2275">
            <v>0</v>
          </cell>
        </row>
        <row r="2276">
          <cell r="B2276">
            <v>2022</v>
          </cell>
          <cell r="C2276">
            <v>1</v>
          </cell>
          <cell r="E2276" t="str">
            <v>LAC</v>
          </cell>
          <cell r="I2276">
            <v>30</v>
          </cell>
          <cell r="J2276">
            <v>31</v>
          </cell>
          <cell r="L2276">
            <v>1</v>
          </cell>
        </row>
        <row r="2277">
          <cell r="B2277">
            <v>2023</v>
          </cell>
          <cell r="C2277">
            <v>1</v>
          </cell>
          <cell r="E2277" t="str">
            <v>LAC</v>
          </cell>
          <cell r="I2277">
            <v>34</v>
          </cell>
          <cell r="J2277">
            <v>36</v>
          </cell>
          <cell r="L2277">
            <v>0</v>
          </cell>
        </row>
        <row r="2278">
          <cell r="B2278">
            <v>2023</v>
          </cell>
          <cell r="C2278">
            <v>2</v>
          </cell>
          <cell r="E2278" t="str">
            <v>LAC</v>
          </cell>
          <cell r="I2278">
            <v>24</v>
          </cell>
          <cell r="J2278">
            <v>27</v>
          </cell>
          <cell r="L2278">
            <v>0</v>
          </cell>
        </row>
        <row r="2279">
          <cell r="B2279">
            <v>2023</v>
          </cell>
          <cell r="C2279">
            <v>3</v>
          </cell>
          <cell r="E2279" t="str">
            <v>LAC</v>
          </cell>
          <cell r="I2279">
            <v>28</v>
          </cell>
          <cell r="J2279">
            <v>24</v>
          </cell>
          <cell r="L2279">
            <v>0</v>
          </cell>
        </row>
        <row r="2280">
          <cell r="B2280">
            <v>2023</v>
          </cell>
          <cell r="C2280">
            <v>4</v>
          </cell>
          <cell r="E2280" t="str">
            <v>LAC</v>
          </cell>
          <cell r="I2280">
            <v>24</v>
          </cell>
          <cell r="J2280">
            <v>17</v>
          </cell>
          <cell r="L2280">
            <v>0</v>
          </cell>
        </row>
        <row r="2281">
          <cell r="B2281">
            <v>2023</v>
          </cell>
          <cell r="C2281">
            <v>6</v>
          </cell>
          <cell r="E2281" t="str">
            <v>LAC</v>
          </cell>
          <cell r="I2281">
            <v>17</v>
          </cell>
          <cell r="J2281">
            <v>20</v>
          </cell>
          <cell r="L2281">
            <v>0</v>
          </cell>
        </row>
        <row r="2282">
          <cell r="B2282">
            <v>2023</v>
          </cell>
          <cell r="C2282">
            <v>7</v>
          </cell>
          <cell r="E2282" t="str">
            <v>LAC</v>
          </cell>
          <cell r="I2282">
            <v>17</v>
          </cell>
          <cell r="J2282">
            <v>31</v>
          </cell>
          <cell r="L2282">
            <v>0</v>
          </cell>
        </row>
        <row r="2283">
          <cell r="B2283">
            <v>2023</v>
          </cell>
          <cell r="C2283">
            <v>8</v>
          </cell>
          <cell r="E2283" t="str">
            <v>LAC</v>
          </cell>
          <cell r="I2283">
            <v>30</v>
          </cell>
          <cell r="J2283">
            <v>13</v>
          </cell>
          <cell r="L2283">
            <v>0</v>
          </cell>
        </row>
        <row r="2284">
          <cell r="B2284">
            <v>2023</v>
          </cell>
          <cell r="C2284">
            <v>9</v>
          </cell>
          <cell r="E2284" t="str">
            <v>LAC</v>
          </cell>
          <cell r="I2284">
            <v>27</v>
          </cell>
          <cell r="J2284">
            <v>6</v>
          </cell>
          <cell r="L2284">
            <v>0</v>
          </cell>
        </row>
        <row r="2285">
          <cell r="B2285">
            <v>2023</v>
          </cell>
          <cell r="C2285">
            <v>10</v>
          </cell>
          <cell r="E2285" t="str">
            <v>LAC</v>
          </cell>
          <cell r="I2285">
            <v>38</v>
          </cell>
          <cell r="J2285">
            <v>41</v>
          </cell>
          <cell r="L2285">
            <v>0</v>
          </cell>
        </row>
        <row r="2286">
          <cell r="B2286">
            <v>2023</v>
          </cell>
          <cell r="C2286">
            <v>11</v>
          </cell>
          <cell r="E2286" t="str">
            <v>LAC</v>
          </cell>
          <cell r="I2286">
            <v>20</v>
          </cell>
          <cell r="J2286">
            <v>23</v>
          </cell>
          <cell r="L2286">
            <v>0</v>
          </cell>
        </row>
        <row r="2287">
          <cell r="B2287">
            <v>2023</v>
          </cell>
          <cell r="C2287">
            <v>12</v>
          </cell>
          <cell r="E2287" t="str">
            <v>LAC</v>
          </cell>
          <cell r="I2287">
            <v>10</v>
          </cell>
          <cell r="J2287">
            <v>20</v>
          </cell>
          <cell r="L2287">
            <v>0</v>
          </cell>
        </row>
        <row r="2288">
          <cell r="B2288">
            <v>2023</v>
          </cell>
          <cell r="C2288">
            <v>13</v>
          </cell>
          <cell r="E2288" t="str">
            <v>LAC</v>
          </cell>
          <cell r="I2288">
            <v>6</v>
          </cell>
          <cell r="J2288">
            <v>0</v>
          </cell>
          <cell r="L2288">
            <v>0</v>
          </cell>
        </row>
        <row r="2289">
          <cell r="B2289">
            <v>2023</v>
          </cell>
          <cell r="C2289">
            <v>14</v>
          </cell>
          <cell r="E2289" t="str">
            <v>LAC</v>
          </cell>
          <cell r="I2289">
            <v>7</v>
          </cell>
          <cell r="J2289">
            <v>24</v>
          </cell>
          <cell r="L2289">
            <v>0</v>
          </cell>
        </row>
        <row r="2290">
          <cell r="B2290">
            <v>2023</v>
          </cell>
          <cell r="C2290">
            <v>15</v>
          </cell>
          <cell r="E2290" t="str">
            <v>LAC</v>
          </cell>
          <cell r="I2290">
            <v>21</v>
          </cell>
          <cell r="J2290">
            <v>63</v>
          </cell>
          <cell r="L2290">
            <v>0</v>
          </cell>
        </row>
        <row r="2291">
          <cell r="B2291">
            <v>2023</v>
          </cell>
          <cell r="C2291">
            <v>16</v>
          </cell>
          <cell r="E2291" t="str">
            <v>LAC</v>
          </cell>
          <cell r="I2291">
            <v>22</v>
          </cell>
          <cell r="J2291">
            <v>24</v>
          </cell>
          <cell r="L2291">
            <v>0</v>
          </cell>
        </row>
        <row r="2292">
          <cell r="B2292">
            <v>2023</v>
          </cell>
          <cell r="C2292">
            <v>17</v>
          </cell>
          <cell r="E2292" t="str">
            <v>LAC</v>
          </cell>
          <cell r="I2292">
            <v>9</v>
          </cell>
          <cell r="J2292">
            <v>16</v>
          </cell>
          <cell r="L2292">
            <v>0</v>
          </cell>
        </row>
        <row r="2293">
          <cell r="B2293">
            <v>2023</v>
          </cell>
          <cell r="C2293">
            <v>18</v>
          </cell>
          <cell r="E2293" t="str">
            <v>LAC</v>
          </cell>
          <cell r="I2293">
            <v>12</v>
          </cell>
          <cell r="J2293">
            <v>13</v>
          </cell>
          <cell r="L2293">
            <v>0</v>
          </cell>
        </row>
        <row r="2294">
          <cell r="B2294">
            <v>2024</v>
          </cell>
          <cell r="C2294">
            <v>1</v>
          </cell>
          <cell r="E2294" t="str">
            <v>LAC</v>
          </cell>
          <cell r="I2294">
            <v>22</v>
          </cell>
          <cell r="J2294">
            <v>10</v>
          </cell>
          <cell r="L2294">
            <v>0</v>
          </cell>
        </row>
        <row r="2295">
          <cell r="B2295">
            <v>2024</v>
          </cell>
          <cell r="C2295">
            <v>2</v>
          </cell>
          <cell r="E2295" t="str">
            <v>LAC</v>
          </cell>
          <cell r="I2295">
            <v>26</v>
          </cell>
          <cell r="J2295">
            <v>3</v>
          </cell>
          <cell r="L2295">
            <v>0</v>
          </cell>
        </row>
        <row r="2296">
          <cell r="B2296">
            <v>2024</v>
          </cell>
          <cell r="C2296">
            <v>3</v>
          </cell>
          <cell r="E2296" t="str">
            <v>LAC</v>
          </cell>
          <cell r="I2296">
            <v>10</v>
          </cell>
          <cell r="J2296">
            <v>20</v>
          </cell>
          <cell r="L2296">
            <v>0</v>
          </cell>
        </row>
        <row r="2297">
          <cell r="B2297">
            <v>2024</v>
          </cell>
          <cell r="C2297">
            <v>4</v>
          </cell>
          <cell r="E2297" t="str">
            <v>LAC</v>
          </cell>
          <cell r="I2297">
            <v>10</v>
          </cell>
          <cell r="J2297">
            <v>17</v>
          </cell>
          <cell r="L2297">
            <v>0</v>
          </cell>
        </row>
        <row r="2298">
          <cell r="B2298">
            <v>2024</v>
          </cell>
          <cell r="C2298">
            <v>6</v>
          </cell>
          <cell r="E2298" t="str">
            <v>LAC</v>
          </cell>
          <cell r="I2298">
            <v>23</v>
          </cell>
          <cell r="J2298">
            <v>16</v>
          </cell>
          <cell r="L2298">
            <v>0</v>
          </cell>
        </row>
        <row r="2299">
          <cell r="B2299">
            <v>2024</v>
          </cell>
          <cell r="C2299">
            <v>7</v>
          </cell>
          <cell r="E2299" t="str">
            <v>LAC</v>
          </cell>
          <cell r="I2299">
            <v>15</v>
          </cell>
          <cell r="J2299">
            <v>17</v>
          </cell>
          <cell r="L2299">
            <v>0</v>
          </cell>
        </row>
        <row r="2300">
          <cell r="B2300">
            <v>2024</v>
          </cell>
          <cell r="C2300">
            <v>8</v>
          </cell>
          <cell r="E2300" t="str">
            <v>LAC</v>
          </cell>
          <cell r="I2300">
            <v>26</v>
          </cell>
          <cell r="J2300">
            <v>8</v>
          </cell>
          <cell r="L2300">
            <v>0</v>
          </cell>
        </row>
        <row r="2301">
          <cell r="B2301">
            <v>2024</v>
          </cell>
          <cell r="C2301">
            <v>9</v>
          </cell>
          <cell r="E2301" t="str">
            <v>LAC</v>
          </cell>
          <cell r="I2301">
            <v>27</v>
          </cell>
          <cell r="J2301">
            <v>10</v>
          </cell>
          <cell r="L2301">
            <v>0</v>
          </cell>
        </row>
        <row r="2302">
          <cell r="B2302">
            <v>2024</v>
          </cell>
          <cell r="C2302">
            <v>10</v>
          </cell>
          <cell r="E2302" t="str">
            <v>LAC</v>
          </cell>
          <cell r="I2302">
            <v>27</v>
          </cell>
          <cell r="J2302">
            <v>17</v>
          </cell>
          <cell r="L2302">
            <v>0</v>
          </cell>
        </row>
        <row r="2303">
          <cell r="B2303">
            <v>2024</v>
          </cell>
          <cell r="C2303">
            <v>11</v>
          </cell>
          <cell r="E2303" t="str">
            <v>LAC</v>
          </cell>
          <cell r="I2303">
            <v>34</v>
          </cell>
          <cell r="J2303">
            <v>27</v>
          </cell>
          <cell r="L2303">
            <v>0</v>
          </cell>
        </row>
        <row r="2304">
          <cell r="B2304">
            <v>2024</v>
          </cell>
          <cell r="C2304">
            <v>12</v>
          </cell>
          <cell r="E2304" t="str">
            <v>LAC</v>
          </cell>
          <cell r="I2304">
            <v>23</v>
          </cell>
          <cell r="J2304">
            <v>30</v>
          </cell>
          <cell r="L2304">
            <v>0</v>
          </cell>
        </row>
        <row r="2305">
          <cell r="B2305">
            <v>2024</v>
          </cell>
          <cell r="C2305">
            <v>13</v>
          </cell>
          <cell r="E2305" t="str">
            <v>LAC</v>
          </cell>
          <cell r="I2305">
            <v>17</v>
          </cell>
          <cell r="J2305">
            <v>13</v>
          </cell>
          <cell r="L2305">
            <v>0</v>
          </cell>
        </row>
        <row r="2306">
          <cell r="B2306">
            <v>2024</v>
          </cell>
          <cell r="C2306">
            <v>14</v>
          </cell>
          <cell r="E2306" t="str">
            <v>LAC</v>
          </cell>
          <cell r="I2306">
            <v>17</v>
          </cell>
          <cell r="J2306">
            <v>19</v>
          </cell>
          <cell r="L2306">
            <v>0</v>
          </cell>
        </row>
        <row r="2307">
          <cell r="B2307">
            <v>2024</v>
          </cell>
          <cell r="C2307">
            <v>15</v>
          </cell>
          <cell r="E2307" t="str">
            <v>LAC</v>
          </cell>
          <cell r="I2307">
            <v>17</v>
          </cell>
          <cell r="J2307">
            <v>40</v>
          </cell>
          <cell r="L2307">
            <v>0</v>
          </cell>
        </row>
        <row r="2308">
          <cell r="B2308">
            <v>2024</v>
          </cell>
          <cell r="C2308">
            <v>16</v>
          </cell>
          <cell r="E2308" t="str">
            <v>LAC</v>
          </cell>
          <cell r="I2308">
            <v>34</v>
          </cell>
          <cell r="J2308">
            <v>27</v>
          </cell>
          <cell r="L2308">
            <v>0</v>
          </cell>
        </row>
        <row r="2309">
          <cell r="B2309">
            <v>2024</v>
          </cell>
          <cell r="C2309">
            <v>17</v>
          </cell>
          <cell r="E2309" t="str">
            <v>LAC</v>
          </cell>
          <cell r="I2309">
            <v>40</v>
          </cell>
          <cell r="J2309">
            <v>7</v>
          </cell>
          <cell r="L2309">
            <v>0</v>
          </cell>
        </row>
        <row r="2310">
          <cell r="B2310">
            <v>2024</v>
          </cell>
          <cell r="C2310">
            <v>18</v>
          </cell>
          <cell r="E2310" t="str">
            <v>LAC</v>
          </cell>
          <cell r="I2310">
            <v>34</v>
          </cell>
          <cell r="J2310">
            <v>20</v>
          </cell>
          <cell r="L2310">
            <v>0</v>
          </cell>
        </row>
        <row r="2311">
          <cell r="B2311">
            <v>2024</v>
          </cell>
          <cell r="C2311">
            <v>1</v>
          </cell>
          <cell r="E2311" t="str">
            <v>LAC</v>
          </cell>
          <cell r="I2311">
            <v>12</v>
          </cell>
          <cell r="J2311">
            <v>32</v>
          </cell>
          <cell r="L2311">
            <v>1</v>
          </cell>
        </row>
        <row r="2312">
          <cell r="B2312">
            <v>2025</v>
          </cell>
          <cell r="C2312">
            <v>1</v>
          </cell>
          <cell r="E2312" t="str">
            <v>LAC</v>
          </cell>
          <cell r="I2312">
            <v>27</v>
          </cell>
          <cell r="J2312">
            <v>21</v>
          </cell>
          <cell r="L2312">
            <v>0</v>
          </cell>
        </row>
        <row r="2313">
          <cell r="B2313">
            <v>2025</v>
          </cell>
          <cell r="C2313">
            <v>2</v>
          </cell>
          <cell r="E2313" t="str">
            <v>LAC</v>
          </cell>
          <cell r="I2313">
            <v>20</v>
          </cell>
          <cell r="J2313">
            <v>9</v>
          </cell>
          <cell r="L2313">
            <v>0</v>
          </cell>
        </row>
        <row r="2314">
          <cell r="B2314">
            <v>2025</v>
          </cell>
          <cell r="C2314">
            <v>3</v>
          </cell>
          <cell r="E2314" t="str">
            <v>LAC</v>
          </cell>
          <cell r="I2314">
            <v>23</v>
          </cell>
          <cell r="J2314">
            <v>20</v>
          </cell>
          <cell r="L2314">
            <v>0</v>
          </cell>
        </row>
        <row r="2315">
          <cell r="B2315">
            <v>2025</v>
          </cell>
          <cell r="C2315">
            <v>4</v>
          </cell>
          <cell r="E2315" t="str">
            <v>LAC</v>
          </cell>
          <cell r="I2315">
            <v>18</v>
          </cell>
          <cell r="J2315">
            <v>21</v>
          </cell>
          <cell r="L2315">
            <v>0</v>
          </cell>
        </row>
        <row r="2316">
          <cell r="B2316">
            <v>2025</v>
          </cell>
          <cell r="C2316">
            <v>5</v>
          </cell>
          <cell r="E2316" t="str">
            <v>LAC</v>
          </cell>
          <cell r="I2316">
            <v>10</v>
          </cell>
          <cell r="J2316">
            <v>27</v>
          </cell>
          <cell r="L2316">
            <v>0</v>
          </cell>
        </row>
        <row r="2317">
          <cell r="B2317">
            <v>2025</v>
          </cell>
          <cell r="C2317">
            <v>6</v>
          </cell>
          <cell r="E2317" t="str">
            <v>LAC</v>
          </cell>
          <cell r="I2317">
            <v>29</v>
          </cell>
          <cell r="J2317">
            <v>27</v>
          </cell>
          <cell r="L2317">
            <v>0</v>
          </cell>
        </row>
        <row r="2318">
          <cell r="B2318">
            <v>2025</v>
          </cell>
          <cell r="C2318">
            <v>7</v>
          </cell>
          <cell r="E2318" t="str">
            <v>LAC</v>
          </cell>
          <cell r="I2318">
            <v>24</v>
          </cell>
          <cell r="J2318">
            <v>38</v>
          </cell>
          <cell r="L2318">
            <v>0</v>
          </cell>
        </row>
        <row r="2319">
          <cell r="B2319">
            <v>2025</v>
          </cell>
          <cell r="C2319">
            <v>8</v>
          </cell>
          <cell r="E2319" t="str">
            <v>LAC</v>
          </cell>
          <cell r="I2319">
            <v>37</v>
          </cell>
          <cell r="J2319">
            <v>10</v>
          </cell>
          <cell r="L2319">
            <v>0</v>
          </cell>
        </row>
        <row r="2320">
          <cell r="B2320">
            <v>2025</v>
          </cell>
          <cell r="C2320">
            <v>9</v>
          </cell>
          <cell r="E2320" t="str">
            <v>LAC</v>
          </cell>
          <cell r="I2320">
            <v>27</v>
          </cell>
          <cell r="J2320">
            <v>20</v>
          </cell>
          <cell r="L2320">
            <v>0</v>
          </cell>
        </row>
        <row r="2321">
          <cell r="B2321">
            <v>2025</v>
          </cell>
          <cell r="C2321">
            <v>10</v>
          </cell>
          <cell r="E2321" t="str">
            <v>LAC</v>
          </cell>
          <cell r="I2321">
            <v>25</v>
          </cell>
          <cell r="J2321">
            <v>10</v>
          </cell>
          <cell r="L2321">
            <v>0</v>
          </cell>
        </row>
        <row r="2322">
          <cell r="B2322">
            <v>2025</v>
          </cell>
          <cell r="C2322">
            <v>11</v>
          </cell>
          <cell r="E2322" t="str">
            <v>LAC</v>
          </cell>
          <cell r="I2322">
            <v>6</v>
          </cell>
          <cell r="J2322">
            <v>35</v>
          </cell>
          <cell r="L2322">
            <v>0</v>
          </cell>
        </row>
        <row r="2323">
          <cell r="B2323">
            <v>2025</v>
          </cell>
          <cell r="C2323">
            <v>13</v>
          </cell>
          <cell r="E2323" t="str">
            <v>LAC</v>
          </cell>
          <cell r="I2323">
            <v>31</v>
          </cell>
          <cell r="J2323">
            <v>14</v>
          </cell>
          <cell r="L2323">
            <v>0</v>
          </cell>
        </row>
        <row r="2324">
          <cell r="B2324">
            <v>2025</v>
          </cell>
          <cell r="C2324">
            <v>14</v>
          </cell>
          <cell r="E2324" t="str">
            <v>LAC</v>
          </cell>
          <cell r="I2324">
            <v>22</v>
          </cell>
          <cell r="J2324">
            <v>19</v>
          </cell>
          <cell r="L2324">
            <v>0</v>
          </cell>
        </row>
        <row r="2325">
          <cell r="B2325">
            <v>2025</v>
          </cell>
          <cell r="C2325">
            <v>15</v>
          </cell>
          <cell r="E2325" t="str">
            <v>LAC</v>
          </cell>
          <cell r="I2325">
            <v>16</v>
          </cell>
          <cell r="J2325">
            <v>13</v>
          </cell>
          <cell r="L2325">
            <v>0</v>
          </cell>
        </row>
        <row r="2326">
          <cell r="B2326">
            <v>2025</v>
          </cell>
          <cell r="C2326">
            <v>16</v>
          </cell>
          <cell r="E2326" t="str">
            <v>LAC</v>
          </cell>
          <cell r="I2326">
            <v>34</v>
          </cell>
          <cell r="J2326">
            <v>17</v>
          </cell>
          <cell r="L2326">
            <v>0</v>
          </cell>
        </row>
        <row r="2327">
          <cell r="B2327">
            <v>2025</v>
          </cell>
          <cell r="C2327">
            <v>17</v>
          </cell>
          <cell r="E2327" t="str">
            <v>LAC</v>
          </cell>
          <cell r="I2327">
            <v>16</v>
          </cell>
          <cell r="J2327">
            <v>20</v>
          </cell>
          <cell r="L2327">
            <v>0</v>
          </cell>
        </row>
        <row r="2328">
          <cell r="B2328">
            <v>2025</v>
          </cell>
          <cell r="C2328">
            <v>18</v>
          </cell>
          <cell r="E2328" t="str">
            <v>LAC</v>
          </cell>
          <cell r="I2328">
            <v>3</v>
          </cell>
          <cell r="J2328">
            <v>19</v>
          </cell>
          <cell r="L2328">
            <v>0</v>
          </cell>
        </row>
        <row r="2329">
          <cell r="B2329">
            <v>2025</v>
          </cell>
          <cell r="C2329">
            <v>1</v>
          </cell>
          <cell r="E2329" t="str">
            <v>LAC</v>
          </cell>
          <cell r="I2329">
            <v>3</v>
          </cell>
          <cell r="J2329">
            <v>16</v>
          </cell>
          <cell r="L2329">
            <v>1</v>
          </cell>
        </row>
        <row r="2330">
          <cell r="B2330">
            <v>2026</v>
          </cell>
          <cell r="C2330">
            <v>1</v>
          </cell>
          <cell r="E2330" t="str">
            <v>LAC</v>
          </cell>
          <cell r="I2330">
            <v>14</v>
          </cell>
          <cell r="J2330">
            <v>26</v>
          </cell>
          <cell r="L2330">
            <v>0</v>
          </cell>
        </row>
        <row r="2331">
          <cell r="B2331">
            <v>2026</v>
          </cell>
          <cell r="C2331">
            <v>2</v>
          </cell>
          <cell r="E2331" t="str">
            <v>LAC</v>
          </cell>
          <cell r="I2331">
            <v>14</v>
          </cell>
          <cell r="J2331">
            <v>26</v>
          </cell>
          <cell r="L2331">
            <v>0</v>
          </cell>
        </row>
        <row r="2332">
          <cell r="B2332">
            <v>2026</v>
          </cell>
          <cell r="C2332">
            <v>3</v>
          </cell>
          <cell r="E2332" t="str">
            <v>LAC</v>
          </cell>
          <cell r="I2332">
            <v>16</v>
          </cell>
          <cell r="J2332">
            <v>24</v>
          </cell>
          <cell r="L2332">
            <v>0</v>
          </cell>
        </row>
        <row r="2333">
          <cell r="B2333">
            <v>2026</v>
          </cell>
          <cell r="C2333">
            <v>4</v>
          </cell>
          <cell r="E2333" t="str">
            <v>LAC</v>
          </cell>
          <cell r="I2333">
            <v>23</v>
          </cell>
          <cell r="J2333">
            <v>30</v>
          </cell>
          <cell r="L2333">
            <v>0</v>
          </cell>
        </row>
        <row r="2334">
          <cell r="B2334">
            <v>2026</v>
          </cell>
          <cell r="C2334">
            <v>5</v>
          </cell>
          <cell r="E2334" t="str">
            <v>LAC</v>
          </cell>
          <cell r="I2334">
            <v>17</v>
          </cell>
          <cell r="J2334">
            <v>23</v>
          </cell>
          <cell r="L2334">
            <v>0</v>
          </cell>
        </row>
        <row r="2335">
          <cell r="B2335">
            <v>2026</v>
          </cell>
          <cell r="C2335">
            <v>6</v>
          </cell>
          <cell r="E2335" t="str">
            <v>LAC</v>
          </cell>
          <cell r="I2335">
            <v>6</v>
          </cell>
          <cell r="J2335">
            <v>22</v>
          </cell>
          <cell r="L2335">
            <v>0</v>
          </cell>
        </row>
        <row r="2336">
          <cell r="B2336">
            <v>2018</v>
          </cell>
          <cell r="C2336">
            <v>1</v>
          </cell>
          <cell r="E2336" t="str">
            <v>PHI</v>
          </cell>
          <cell r="I2336">
            <v>18</v>
          </cell>
          <cell r="J2336">
            <v>12</v>
          </cell>
          <cell r="L2336">
            <v>0</v>
          </cell>
        </row>
        <row r="2337">
          <cell r="B2337">
            <v>2018</v>
          </cell>
          <cell r="C2337">
            <v>2</v>
          </cell>
          <cell r="E2337" t="str">
            <v>PHI</v>
          </cell>
          <cell r="I2337">
            <v>21</v>
          </cell>
          <cell r="J2337">
            <v>27</v>
          </cell>
          <cell r="L2337">
            <v>0</v>
          </cell>
        </row>
        <row r="2338">
          <cell r="B2338">
            <v>2018</v>
          </cell>
          <cell r="C2338">
            <v>3</v>
          </cell>
          <cell r="E2338" t="str">
            <v>PHI</v>
          </cell>
          <cell r="I2338">
            <v>20</v>
          </cell>
          <cell r="J2338">
            <v>16</v>
          </cell>
          <cell r="L2338">
            <v>0</v>
          </cell>
        </row>
        <row r="2339">
          <cell r="B2339">
            <v>2018</v>
          </cell>
          <cell r="C2339">
            <v>4</v>
          </cell>
          <cell r="E2339" t="str">
            <v>PHI</v>
          </cell>
          <cell r="I2339">
            <v>23</v>
          </cell>
          <cell r="J2339">
            <v>26</v>
          </cell>
          <cell r="L2339">
            <v>0</v>
          </cell>
        </row>
        <row r="2340">
          <cell r="B2340">
            <v>2018</v>
          </cell>
          <cell r="C2340">
            <v>5</v>
          </cell>
          <cell r="E2340" t="str">
            <v>PHI</v>
          </cell>
          <cell r="I2340">
            <v>21</v>
          </cell>
          <cell r="J2340">
            <v>23</v>
          </cell>
          <cell r="L2340">
            <v>0</v>
          </cell>
        </row>
        <row r="2341">
          <cell r="B2341">
            <v>2018</v>
          </cell>
          <cell r="C2341">
            <v>6</v>
          </cell>
          <cell r="E2341" t="str">
            <v>PHI</v>
          </cell>
          <cell r="I2341">
            <v>34</v>
          </cell>
          <cell r="J2341">
            <v>13</v>
          </cell>
          <cell r="L2341">
            <v>0</v>
          </cell>
        </row>
        <row r="2342">
          <cell r="B2342">
            <v>2018</v>
          </cell>
          <cell r="C2342">
            <v>7</v>
          </cell>
          <cell r="E2342" t="str">
            <v>PHI</v>
          </cell>
          <cell r="I2342">
            <v>17</v>
          </cell>
          <cell r="J2342">
            <v>21</v>
          </cell>
          <cell r="L2342">
            <v>0</v>
          </cell>
        </row>
        <row r="2343">
          <cell r="B2343">
            <v>2018</v>
          </cell>
          <cell r="C2343">
            <v>8</v>
          </cell>
          <cell r="E2343" t="str">
            <v>PHI</v>
          </cell>
          <cell r="I2343">
            <v>24</v>
          </cell>
          <cell r="J2343">
            <v>18</v>
          </cell>
          <cell r="L2343">
            <v>0</v>
          </cell>
        </row>
        <row r="2344">
          <cell r="B2344">
            <v>2018</v>
          </cell>
          <cell r="C2344">
            <v>10</v>
          </cell>
          <cell r="E2344" t="str">
            <v>PHI</v>
          </cell>
          <cell r="I2344">
            <v>20</v>
          </cell>
          <cell r="J2344">
            <v>27</v>
          </cell>
          <cell r="L2344">
            <v>0</v>
          </cell>
        </row>
        <row r="2345">
          <cell r="B2345">
            <v>2018</v>
          </cell>
          <cell r="C2345">
            <v>11</v>
          </cell>
          <cell r="E2345" t="str">
            <v>PHI</v>
          </cell>
          <cell r="I2345">
            <v>7</v>
          </cell>
          <cell r="J2345">
            <v>48</v>
          </cell>
          <cell r="L2345">
            <v>0</v>
          </cell>
        </row>
        <row r="2346">
          <cell r="B2346">
            <v>2018</v>
          </cell>
          <cell r="C2346">
            <v>12</v>
          </cell>
          <cell r="E2346" t="str">
            <v>PHI</v>
          </cell>
          <cell r="I2346">
            <v>25</v>
          </cell>
          <cell r="J2346">
            <v>22</v>
          </cell>
          <cell r="L2346">
            <v>0</v>
          </cell>
        </row>
        <row r="2347">
          <cell r="B2347">
            <v>2018</v>
          </cell>
          <cell r="C2347">
            <v>13</v>
          </cell>
          <cell r="E2347" t="str">
            <v>PHI</v>
          </cell>
          <cell r="I2347">
            <v>28</v>
          </cell>
          <cell r="J2347">
            <v>13</v>
          </cell>
          <cell r="L2347">
            <v>0</v>
          </cell>
        </row>
        <row r="2348">
          <cell r="B2348">
            <v>2018</v>
          </cell>
          <cell r="C2348">
            <v>14</v>
          </cell>
          <cell r="E2348" t="str">
            <v>PHI</v>
          </cell>
          <cell r="I2348">
            <v>23</v>
          </cell>
          <cell r="J2348">
            <v>29</v>
          </cell>
          <cell r="L2348">
            <v>0</v>
          </cell>
        </row>
        <row r="2349">
          <cell r="B2349">
            <v>2018</v>
          </cell>
          <cell r="C2349">
            <v>15</v>
          </cell>
          <cell r="E2349" t="str">
            <v>PHI</v>
          </cell>
          <cell r="I2349">
            <v>30</v>
          </cell>
          <cell r="J2349">
            <v>23</v>
          </cell>
          <cell r="L2349">
            <v>0</v>
          </cell>
        </row>
        <row r="2350">
          <cell r="B2350">
            <v>2018</v>
          </cell>
          <cell r="C2350">
            <v>16</v>
          </cell>
          <cell r="E2350" t="str">
            <v>PHI</v>
          </cell>
          <cell r="I2350">
            <v>32</v>
          </cell>
          <cell r="J2350">
            <v>30</v>
          </cell>
          <cell r="L2350">
            <v>0</v>
          </cell>
        </row>
        <row r="2351">
          <cell r="B2351">
            <v>2018</v>
          </cell>
          <cell r="C2351">
            <v>17</v>
          </cell>
          <cell r="E2351" t="str">
            <v>PHI</v>
          </cell>
          <cell r="I2351">
            <v>24</v>
          </cell>
          <cell r="J2351">
            <v>0</v>
          </cell>
          <cell r="L2351">
            <v>0</v>
          </cell>
        </row>
        <row r="2352">
          <cell r="B2352">
            <v>2018</v>
          </cell>
          <cell r="C2352">
            <v>1</v>
          </cell>
          <cell r="E2352" t="str">
            <v>PHI</v>
          </cell>
          <cell r="I2352">
            <v>16</v>
          </cell>
          <cell r="J2352">
            <v>15</v>
          </cell>
          <cell r="L2352">
            <v>1</v>
          </cell>
        </row>
        <row r="2353">
          <cell r="B2353">
            <v>2018</v>
          </cell>
          <cell r="C2353">
            <v>2</v>
          </cell>
          <cell r="E2353" t="str">
            <v>PHI</v>
          </cell>
          <cell r="I2353">
            <v>14</v>
          </cell>
          <cell r="J2353">
            <v>20</v>
          </cell>
          <cell r="L2353">
            <v>1</v>
          </cell>
        </row>
        <row r="2354">
          <cell r="B2354">
            <v>2019</v>
          </cell>
          <cell r="C2354">
            <v>1</v>
          </cell>
          <cell r="E2354" t="str">
            <v>PHI</v>
          </cell>
          <cell r="I2354">
            <v>32</v>
          </cell>
          <cell r="J2354">
            <v>27</v>
          </cell>
          <cell r="L2354">
            <v>0</v>
          </cell>
        </row>
        <row r="2355">
          <cell r="B2355">
            <v>2019</v>
          </cell>
          <cell r="C2355">
            <v>2</v>
          </cell>
          <cell r="E2355" t="str">
            <v>PHI</v>
          </cell>
          <cell r="I2355">
            <v>20</v>
          </cell>
          <cell r="J2355">
            <v>24</v>
          </cell>
          <cell r="L2355">
            <v>0</v>
          </cell>
        </row>
        <row r="2356">
          <cell r="B2356">
            <v>2019</v>
          </cell>
          <cell r="C2356">
            <v>3</v>
          </cell>
          <cell r="E2356" t="str">
            <v>PHI</v>
          </cell>
          <cell r="I2356">
            <v>24</v>
          </cell>
          <cell r="J2356">
            <v>27</v>
          </cell>
          <cell r="L2356">
            <v>0</v>
          </cell>
        </row>
        <row r="2357">
          <cell r="B2357">
            <v>2019</v>
          </cell>
          <cell r="C2357">
            <v>4</v>
          </cell>
          <cell r="E2357" t="str">
            <v>PHI</v>
          </cell>
          <cell r="I2357">
            <v>34</v>
          </cell>
          <cell r="J2357">
            <v>27</v>
          </cell>
          <cell r="L2357">
            <v>0</v>
          </cell>
        </row>
        <row r="2358">
          <cell r="B2358">
            <v>2019</v>
          </cell>
          <cell r="C2358">
            <v>5</v>
          </cell>
          <cell r="E2358" t="str">
            <v>PHI</v>
          </cell>
          <cell r="I2358">
            <v>31</v>
          </cell>
          <cell r="J2358">
            <v>6</v>
          </cell>
          <cell r="L2358">
            <v>0</v>
          </cell>
        </row>
        <row r="2359">
          <cell r="B2359">
            <v>2019</v>
          </cell>
          <cell r="C2359">
            <v>6</v>
          </cell>
          <cell r="E2359" t="str">
            <v>PHI</v>
          </cell>
          <cell r="I2359">
            <v>20</v>
          </cell>
          <cell r="J2359">
            <v>38</v>
          </cell>
          <cell r="L2359">
            <v>0</v>
          </cell>
        </row>
        <row r="2360">
          <cell r="B2360">
            <v>2019</v>
          </cell>
          <cell r="C2360">
            <v>7</v>
          </cell>
          <cell r="E2360" t="str">
            <v>PHI</v>
          </cell>
          <cell r="I2360">
            <v>10</v>
          </cell>
          <cell r="J2360">
            <v>37</v>
          </cell>
          <cell r="L2360">
            <v>0</v>
          </cell>
        </row>
        <row r="2361">
          <cell r="B2361">
            <v>2019</v>
          </cell>
          <cell r="C2361">
            <v>8</v>
          </cell>
          <cell r="E2361" t="str">
            <v>PHI</v>
          </cell>
          <cell r="I2361">
            <v>31</v>
          </cell>
          <cell r="J2361">
            <v>13</v>
          </cell>
          <cell r="L2361">
            <v>0</v>
          </cell>
        </row>
        <row r="2362">
          <cell r="B2362">
            <v>2019</v>
          </cell>
          <cell r="C2362">
            <v>9</v>
          </cell>
          <cell r="E2362" t="str">
            <v>PHI</v>
          </cell>
          <cell r="I2362">
            <v>22</v>
          </cell>
          <cell r="J2362">
            <v>14</v>
          </cell>
          <cell r="L2362">
            <v>0</v>
          </cell>
        </row>
        <row r="2363">
          <cell r="B2363">
            <v>2019</v>
          </cell>
          <cell r="C2363">
            <v>11</v>
          </cell>
          <cell r="E2363" t="str">
            <v>PHI</v>
          </cell>
          <cell r="I2363">
            <v>10</v>
          </cell>
          <cell r="J2363">
            <v>17</v>
          </cell>
          <cell r="L2363">
            <v>0</v>
          </cell>
        </row>
        <row r="2364">
          <cell r="B2364">
            <v>2019</v>
          </cell>
          <cell r="C2364">
            <v>12</v>
          </cell>
          <cell r="E2364" t="str">
            <v>PHI</v>
          </cell>
          <cell r="I2364">
            <v>9</v>
          </cell>
          <cell r="J2364">
            <v>17</v>
          </cell>
          <cell r="L2364">
            <v>0</v>
          </cell>
        </row>
        <row r="2365">
          <cell r="B2365">
            <v>2019</v>
          </cell>
          <cell r="C2365">
            <v>13</v>
          </cell>
          <cell r="E2365" t="str">
            <v>PHI</v>
          </cell>
          <cell r="I2365">
            <v>31</v>
          </cell>
          <cell r="J2365">
            <v>37</v>
          </cell>
          <cell r="L2365">
            <v>0</v>
          </cell>
        </row>
        <row r="2366">
          <cell r="B2366">
            <v>2019</v>
          </cell>
          <cell r="C2366">
            <v>14</v>
          </cell>
          <cell r="E2366" t="str">
            <v>PHI</v>
          </cell>
          <cell r="I2366">
            <v>23</v>
          </cell>
          <cell r="J2366">
            <v>17</v>
          </cell>
          <cell r="L2366">
            <v>0</v>
          </cell>
        </row>
        <row r="2367">
          <cell r="B2367">
            <v>2019</v>
          </cell>
          <cell r="C2367">
            <v>15</v>
          </cell>
          <cell r="E2367" t="str">
            <v>PHI</v>
          </cell>
          <cell r="I2367">
            <v>37</v>
          </cell>
          <cell r="J2367">
            <v>27</v>
          </cell>
          <cell r="L2367">
            <v>0</v>
          </cell>
        </row>
        <row r="2368">
          <cell r="B2368">
            <v>2019</v>
          </cell>
          <cell r="C2368">
            <v>16</v>
          </cell>
          <cell r="E2368" t="str">
            <v>PHI</v>
          </cell>
          <cell r="I2368">
            <v>17</v>
          </cell>
          <cell r="J2368">
            <v>9</v>
          </cell>
          <cell r="L2368">
            <v>0</v>
          </cell>
        </row>
        <row r="2369">
          <cell r="B2369">
            <v>2019</v>
          </cell>
          <cell r="C2369">
            <v>17</v>
          </cell>
          <cell r="E2369" t="str">
            <v>PHI</v>
          </cell>
          <cell r="I2369">
            <v>34</v>
          </cell>
          <cell r="J2369">
            <v>17</v>
          </cell>
          <cell r="L2369">
            <v>0</v>
          </cell>
        </row>
        <row r="2370">
          <cell r="B2370">
            <v>2019</v>
          </cell>
          <cell r="C2370">
            <v>1</v>
          </cell>
          <cell r="E2370" t="str">
            <v>PHI</v>
          </cell>
          <cell r="I2370">
            <v>9</v>
          </cell>
          <cell r="J2370">
            <v>17</v>
          </cell>
          <cell r="L2370">
            <v>1</v>
          </cell>
        </row>
        <row r="2371">
          <cell r="B2371">
            <v>2020</v>
          </cell>
          <cell r="C2371">
            <v>1</v>
          </cell>
          <cell r="E2371" t="str">
            <v>PHI</v>
          </cell>
          <cell r="I2371">
            <v>17</v>
          </cell>
          <cell r="J2371">
            <v>27</v>
          </cell>
          <cell r="L2371">
            <v>0</v>
          </cell>
        </row>
        <row r="2372">
          <cell r="B2372">
            <v>2020</v>
          </cell>
          <cell r="C2372">
            <v>2</v>
          </cell>
          <cell r="E2372" t="str">
            <v>PHI</v>
          </cell>
          <cell r="I2372">
            <v>19</v>
          </cell>
          <cell r="J2372">
            <v>37</v>
          </cell>
          <cell r="L2372">
            <v>0</v>
          </cell>
        </row>
        <row r="2373">
          <cell r="B2373">
            <v>2020</v>
          </cell>
          <cell r="C2373">
            <v>3</v>
          </cell>
          <cell r="E2373" t="str">
            <v>PHI</v>
          </cell>
          <cell r="I2373">
            <v>23</v>
          </cell>
          <cell r="J2373">
            <v>23</v>
          </cell>
          <cell r="L2373">
            <v>0</v>
          </cell>
        </row>
        <row r="2374">
          <cell r="B2374">
            <v>2020</v>
          </cell>
          <cell r="C2374">
            <v>4</v>
          </cell>
          <cell r="E2374" t="str">
            <v>PHI</v>
          </cell>
          <cell r="I2374">
            <v>25</v>
          </cell>
          <cell r="J2374">
            <v>20</v>
          </cell>
          <cell r="L2374">
            <v>0</v>
          </cell>
        </row>
        <row r="2375">
          <cell r="B2375">
            <v>2020</v>
          </cell>
          <cell r="C2375">
            <v>5</v>
          </cell>
          <cell r="E2375" t="str">
            <v>PHI</v>
          </cell>
          <cell r="I2375">
            <v>29</v>
          </cell>
          <cell r="J2375">
            <v>38</v>
          </cell>
          <cell r="L2375">
            <v>0</v>
          </cell>
        </row>
        <row r="2376">
          <cell r="B2376">
            <v>2020</v>
          </cell>
          <cell r="C2376">
            <v>6</v>
          </cell>
          <cell r="E2376" t="str">
            <v>PHI</v>
          </cell>
          <cell r="I2376">
            <v>28</v>
          </cell>
          <cell r="J2376">
            <v>30</v>
          </cell>
          <cell r="L2376">
            <v>0</v>
          </cell>
        </row>
        <row r="2377">
          <cell r="B2377">
            <v>2020</v>
          </cell>
          <cell r="C2377">
            <v>7</v>
          </cell>
          <cell r="E2377" t="str">
            <v>PHI</v>
          </cell>
          <cell r="I2377">
            <v>22</v>
          </cell>
          <cell r="J2377">
            <v>21</v>
          </cell>
          <cell r="L2377">
            <v>0</v>
          </cell>
        </row>
        <row r="2378">
          <cell r="B2378">
            <v>2020</v>
          </cell>
          <cell r="C2378">
            <v>8</v>
          </cell>
          <cell r="E2378" t="str">
            <v>PHI</v>
          </cell>
          <cell r="I2378">
            <v>23</v>
          </cell>
          <cell r="J2378">
            <v>9</v>
          </cell>
          <cell r="L2378">
            <v>0</v>
          </cell>
        </row>
        <row r="2379">
          <cell r="B2379">
            <v>2020</v>
          </cell>
          <cell r="C2379">
            <v>10</v>
          </cell>
          <cell r="E2379" t="str">
            <v>PHI</v>
          </cell>
          <cell r="I2379">
            <v>17</v>
          </cell>
          <cell r="J2379">
            <v>27</v>
          </cell>
          <cell r="L2379">
            <v>0</v>
          </cell>
        </row>
        <row r="2380">
          <cell r="B2380">
            <v>2020</v>
          </cell>
          <cell r="C2380">
            <v>11</v>
          </cell>
          <cell r="E2380" t="str">
            <v>PHI</v>
          </cell>
          <cell r="I2380">
            <v>17</v>
          </cell>
          <cell r="J2380">
            <v>22</v>
          </cell>
          <cell r="L2380">
            <v>0</v>
          </cell>
        </row>
        <row r="2381">
          <cell r="B2381">
            <v>2020</v>
          </cell>
          <cell r="C2381">
            <v>12</v>
          </cell>
          <cell r="E2381" t="str">
            <v>PHI</v>
          </cell>
          <cell r="I2381">
            <v>17</v>
          </cell>
          <cell r="J2381">
            <v>23</v>
          </cell>
          <cell r="L2381">
            <v>0</v>
          </cell>
        </row>
        <row r="2382">
          <cell r="B2382">
            <v>2020</v>
          </cell>
          <cell r="C2382">
            <v>13</v>
          </cell>
          <cell r="E2382" t="str">
            <v>PHI</v>
          </cell>
          <cell r="I2382">
            <v>16</v>
          </cell>
          <cell r="J2382">
            <v>30</v>
          </cell>
          <cell r="L2382">
            <v>0</v>
          </cell>
        </row>
        <row r="2383">
          <cell r="B2383">
            <v>2020</v>
          </cell>
          <cell r="C2383">
            <v>14</v>
          </cell>
          <cell r="E2383" t="str">
            <v>PHI</v>
          </cell>
          <cell r="I2383">
            <v>24</v>
          </cell>
          <cell r="J2383">
            <v>21</v>
          </cell>
          <cell r="L2383">
            <v>0</v>
          </cell>
        </row>
        <row r="2384">
          <cell r="B2384">
            <v>2020</v>
          </cell>
          <cell r="C2384">
            <v>15</v>
          </cell>
          <cell r="E2384" t="str">
            <v>PHI</v>
          </cell>
          <cell r="I2384">
            <v>26</v>
          </cell>
          <cell r="J2384">
            <v>33</v>
          </cell>
          <cell r="L2384">
            <v>0</v>
          </cell>
        </row>
        <row r="2385">
          <cell r="B2385">
            <v>2020</v>
          </cell>
          <cell r="C2385">
            <v>16</v>
          </cell>
          <cell r="E2385" t="str">
            <v>PHI</v>
          </cell>
          <cell r="I2385">
            <v>17</v>
          </cell>
          <cell r="J2385">
            <v>37</v>
          </cell>
          <cell r="L2385">
            <v>0</v>
          </cell>
        </row>
        <row r="2386">
          <cell r="B2386">
            <v>2020</v>
          </cell>
          <cell r="C2386">
            <v>17</v>
          </cell>
          <cell r="E2386" t="str">
            <v>PHI</v>
          </cell>
          <cell r="I2386">
            <v>14</v>
          </cell>
          <cell r="J2386">
            <v>20</v>
          </cell>
          <cell r="L2386">
            <v>0</v>
          </cell>
        </row>
        <row r="2387">
          <cell r="B2387">
            <v>2021</v>
          </cell>
          <cell r="C2387">
            <v>1</v>
          </cell>
          <cell r="E2387" t="str">
            <v>PHI</v>
          </cell>
          <cell r="I2387">
            <v>32</v>
          </cell>
          <cell r="J2387">
            <v>6</v>
          </cell>
          <cell r="L2387">
            <v>0</v>
          </cell>
        </row>
        <row r="2388">
          <cell r="B2388">
            <v>2021</v>
          </cell>
          <cell r="C2388">
            <v>2</v>
          </cell>
          <cell r="E2388" t="str">
            <v>PHI</v>
          </cell>
          <cell r="I2388">
            <v>11</v>
          </cell>
          <cell r="J2388">
            <v>17</v>
          </cell>
          <cell r="L2388">
            <v>0</v>
          </cell>
        </row>
        <row r="2389">
          <cell r="B2389">
            <v>2021</v>
          </cell>
          <cell r="C2389">
            <v>3</v>
          </cell>
          <cell r="E2389" t="str">
            <v>PHI</v>
          </cell>
          <cell r="I2389">
            <v>21</v>
          </cell>
          <cell r="J2389">
            <v>41</v>
          </cell>
          <cell r="L2389">
            <v>0</v>
          </cell>
        </row>
        <row r="2390">
          <cell r="B2390">
            <v>2021</v>
          </cell>
          <cell r="C2390">
            <v>4</v>
          </cell>
          <cell r="E2390" t="str">
            <v>PHI</v>
          </cell>
          <cell r="I2390">
            <v>30</v>
          </cell>
          <cell r="J2390">
            <v>42</v>
          </cell>
          <cell r="L2390">
            <v>0</v>
          </cell>
        </row>
        <row r="2391">
          <cell r="B2391">
            <v>2021</v>
          </cell>
          <cell r="C2391">
            <v>5</v>
          </cell>
          <cell r="E2391" t="str">
            <v>PHI</v>
          </cell>
          <cell r="I2391">
            <v>21</v>
          </cell>
          <cell r="J2391">
            <v>18</v>
          </cell>
          <cell r="L2391">
            <v>0</v>
          </cell>
        </row>
        <row r="2392">
          <cell r="B2392">
            <v>2021</v>
          </cell>
          <cell r="C2392">
            <v>6</v>
          </cell>
          <cell r="E2392" t="str">
            <v>PHI</v>
          </cell>
          <cell r="I2392">
            <v>22</v>
          </cell>
          <cell r="J2392">
            <v>28</v>
          </cell>
          <cell r="L2392">
            <v>0</v>
          </cell>
        </row>
        <row r="2393">
          <cell r="B2393">
            <v>2021</v>
          </cell>
          <cell r="C2393">
            <v>7</v>
          </cell>
          <cell r="E2393" t="str">
            <v>PHI</v>
          </cell>
          <cell r="I2393">
            <v>22</v>
          </cell>
          <cell r="J2393">
            <v>33</v>
          </cell>
          <cell r="L2393">
            <v>0</v>
          </cell>
        </row>
        <row r="2394">
          <cell r="B2394">
            <v>2021</v>
          </cell>
          <cell r="C2394">
            <v>8</v>
          </cell>
          <cell r="E2394" t="str">
            <v>PHI</v>
          </cell>
          <cell r="I2394">
            <v>44</v>
          </cell>
          <cell r="J2394">
            <v>6</v>
          </cell>
          <cell r="L2394">
            <v>0</v>
          </cell>
        </row>
        <row r="2395">
          <cell r="B2395">
            <v>2021</v>
          </cell>
          <cell r="C2395">
            <v>9</v>
          </cell>
          <cell r="E2395" t="str">
            <v>PHI</v>
          </cell>
          <cell r="I2395">
            <v>24</v>
          </cell>
          <cell r="J2395">
            <v>27</v>
          </cell>
          <cell r="L2395">
            <v>0</v>
          </cell>
        </row>
        <row r="2396">
          <cell r="B2396">
            <v>2021</v>
          </cell>
          <cell r="C2396">
            <v>10</v>
          </cell>
          <cell r="E2396" t="str">
            <v>PHI</v>
          </cell>
          <cell r="I2396">
            <v>30</v>
          </cell>
          <cell r="J2396">
            <v>13</v>
          </cell>
          <cell r="L2396">
            <v>0</v>
          </cell>
        </row>
        <row r="2397">
          <cell r="B2397">
            <v>2021</v>
          </cell>
          <cell r="C2397">
            <v>11</v>
          </cell>
          <cell r="E2397" t="str">
            <v>PHI</v>
          </cell>
          <cell r="I2397">
            <v>40</v>
          </cell>
          <cell r="J2397">
            <v>29</v>
          </cell>
          <cell r="L2397">
            <v>0</v>
          </cell>
        </row>
        <row r="2398">
          <cell r="B2398">
            <v>2021</v>
          </cell>
          <cell r="C2398">
            <v>12</v>
          </cell>
          <cell r="E2398" t="str">
            <v>PHI</v>
          </cell>
          <cell r="I2398">
            <v>7</v>
          </cell>
          <cell r="J2398">
            <v>13</v>
          </cell>
          <cell r="L2398">
            <v>0</v>
          </cell>
        </row>
        <row r="2399">
          <cell r="B2399">
            <v>2021</v>
          </cell>
          <cell r="C2399">
            <v>13</v>
          </cell>
          <cell r="E2399" t="str">
            <v>PHI</v>
          </cell>
          <cell r="I2399">
            <v>33</v>
          </cell>
          <cell r="J2399">
            <v>18</v>
          </cell>
          <cell r="L2399">
            <v>0</v>
          </cell>
        </row>
        <row r="2400">
          <cell r="B2400">
            <v>2021</v>
          </cell>
          <cell r="C2400">
            <v>15</v>
          </cell>
          <cell r="E2400" t="str">
            <v>PHI</v>
          </cell>
          <cell r="I2400">
            <v>27</v>
          </cell>
          <cell r="J2400">
            <v>17</v>
          </cell>
          <cell r="L2400">
            <v>0</v>
          </cell>
        </row>
        <row r="2401">
          <cell r="B2401">
            <v>2021</v>
          </cell>
          <cell r="C2401">
            <v>16</v>
          </cell>
          <cell r="E2401" t="str">
            <v>PHI</v>
          </cell>
          <cell r="I2401">
            <v>34</v>
          </cell>
          <cell r="J2401">
            <v>10</v>
          </cell>
          <cell r="L2401">
            <v>0</v>
          </cell>
        </row>
        <row r="2402">
          <cell r="B2402">
            <v>2021</v>
          </cell>
          <cell r="C2402">
            <v>17</v>
          </cell>
          <cell r="E2402" t="str">
            <v>PHI</v>
          </cell>
          <cell r="I2402">
            <v>20</v>
          </cell>
          <cell r="J2402">
            <v>16</v>
          </cell>
          <cell r="L2402">
            <v>0</v>
          </cell>
        </row>
        <row r="2403">
          <cell r="B2403">
            <v>2021</v>
          </cell>
          <cell r="C2403">
            <v>18</v>
          </cell>
          <cell r="E2403" t="str">
            <v>PHI</v>
          </cell>
          <cell r="I2403">
            <v>26</v>
          </cell>
          <cell r="J2403">
            <v>51</v>
          </cell>
          <cell r="L2403">
            <v>0</v>
          </cell>
        </row>
        <row r="2404">
          <cell r="B2404">
            <v>2021</v>
          </cell>
          <cell r="C2404">
            <v>1</v>
          </cell>
          <cell r="E2404" t="str">
            <v>PHI</v>
          </cell>
          <cell r="I2404">
            <v>15</v>
          </cell>
          <cell r="J2404">
            <v>31</v>
          </cell>
          <cell r="L2404">
            <v>1</v>
          </cell>
        </row>
        <row r="2405">
          <cell r="B2405">
            <v>2022</v>
          </cell>
          <cell r="C2405">
            <v>1</v>
          </cell>
          <cell r="E2405" t="str">
            <v>PHI</v>
          </cell>
          <cell r="I2405">
            <v>38</v>
          </cell>
          <cell r="J2405">
            <v>35</v>
          </cell>
          <cell r="L2405">
            <v>0</v>
          </cell>
        </row>
        <row r="2406">
          <cell r="B2406">
            <v>2022</v>
          </cell>
          <cell r="C2406">
            <v>2</v>
          </cell>
          <cell r="E2406" t="str">
            <v>PHI</v>
          </cell>
          <cell r="I2406">
            <v>24</v>
          </cell>
          <cell r="J2406">
            <v>7</v>
          </cell>
          <cell r="L2406">
            <v>0</v>
          </cell>
        </row>
        <row r="2407">
          <cell r="B2407">
            <v>2022</v>
          </cell>
          <cell r="C2407">
            <v>3</v>
          </cell>
          <cell r="E2407" t="str">
            <v>PHI</v>
          </cell>
          <cell r="I2407">
            <v>24</v>
          </cell>
          <cell r="J2407">
            <v>8</v>
          </cell>
          <cell r="L2407">
            <v>0</v>
          </cell>
        </row>
        <row r="2408">
          <cell r="B2408">
            <v>2022</v>
          </cell>
          <cell r="C2408">
            <v>4</v>
          </cell>
          <cell r="E2408" t="str">
            <v>PHI</v>
          </cell>
          <cell r="I2408">
            <v>29</v>
          </cell>
          <cell r="J2408">
            <v>21</v>
          </cell>
          <cell r="L2408">
            <v>0</v>
          </cell>
        </row>
        <row r="2409">
          <cell r="B2409">
            <v>2022</v>
          </cell>
          <cell r="C2409">
            <v>5</v>
          </cell>
          <cell r="E2409" t="str">
            <v>PHI</v>
          </cell>
          <cell r="I2409">
            <v>20</v>
          </cell>
          <cell r="J2409">
            <v>17</v>
          </cell>
          <cell r="L2409">
            <v>0</v>
          </cell>
        </row>
        <row r="2410">
          <cell r="B2410">
            <v>2022</v>
          </cell>
          <cell r="C2410">
            <v>6</v>
          </cell>
          <cell r="E2410" t="str">
            <v>PHI</v>
          </cell>
          <cell r="I2410">
            <v>26</v>
          </cell>
          <cell r="J2410">
            <v>17</v>
          </cell>
          <cell r="L2410">
            <v>0</v>
          </cell>
        </row>
        <row r="2411">
          <cell r="B2411">
            <v>2022</v>
          </cell>
          <cell r="C2411">
            <v>8</v>
          </cell>
          <cell r="E2411" t="str">
            <v>PHI</v>
          </cell>
          <cell r="I2411">
            <v>35</v>
          </cell>
          <cell r="J2411">
            <v>13</v>
          </cell>
          <cell r="L2411">
            <v>0</v>
          </cell>
        </row>
        <row r="2412">
          <cell r="B2412">
            <v>2022</v>
          </cell>
          <cell r="C2412">
            <v>9</v>
          </cell>
          <cell r="E2412" t="str">
            <v>PHI</v>
          </cell>
          <cell r="I2412">
            <v>29</v>
          </cell>
          <cell r="J2412">
            <v>17</v>
          </cell>
          <cell r="L2412">
            <v>0</v>
          </cell>
        </row>
        <row r="2413">
          <cell r="B2413">
            <v>2022</v>
          </cell>
          <cell r="C2413">
            <v>10</v>
          </cell>
          <cell r="E2413" t="str">
            <v>PHI</v>
          </cell>
          <cell r="I2413">
            <v>21</v>
          </cell>
          <cell r="J2413">
            <v>32</v>
          </cell>
          <cell r="L2413">
            <v>0</v>
          </cell>
        </row>
        <row r="2414">
          <cell r="B2414">
            <v>2022</v>
          </cell>
          <cell r="C2414">
            <v>11</v>
          </cell>
          <cell r="E2414" t="str">
            <v>PHI</v>
          </cell>
          <cell r="I2414">
            <v>17</v>
          </cell>
          <cell r="J2414">
            <v>16</v>
          </cell>
          <cell r="L2414">
            <v>0</v>
          </cell>
        </row>
        <row r="2415">
          <cell r="B2415">
            <v>2022</v>
          </cell>
          <cell r="C2415">
            <v>12</v>
          </cell>
          <cell r="E2415" t="str">
            <v>PHI</v>
          </cell>
          <cell r="I2415">
            <v>40</v>
          </cell>
          <cell r="J2415">
            <v>33</v>
          </cell>
          <cell r="L2415">
            <v>0</v>
          </cell>
        </row>
        <row r="2416">
          <cell r="B2416">
            <v>2022</v>
          </cell>
          <cell r="C2416">
            <v>13</v>
          </cell>
          <cell r="E2416" t="str">
            <v>PHI</v>
          </cell>
          <cell r="I2416">
            <v>35</v>
          </cell>
          <cell r="J2416">
            <v>10</v>
          </cell>
          <cell r="L2416">
            <v>0</v>
          </cell>
        </row>
        <row r="2417">
          <cell r="B2417">
            <v>2022</v>
          </cell>
          <cell r="C2417">
            <v>14</v>
          </cell>
          <cell r="E2417" t="str">
            <v>PHI</v>
          </cell>
          <cell r="I2417">
            <v>48</v>
          </cell>
          <cell r="J2417">
            <v>22</v>
          </cell>
          <cell r="L2417">
            <v>0</v>
          </cell>
        </row>
        <row r="2418">
          <cell r="B2418">
            <v>2022</v>
          </cell>
          <cell r="C2418">
            <v>15</v>
          </cell>
          <cell r="E2418" t="str">
            <v>PHI</v>
          </cell>
          <cell r="I2418">
            <v>25</v>
          </cell>
          <cell r="J2418">
            <v>20</v>
          </cell>
          <cell r="L2418">
            <v>0</v>
          </cell>
        </row>
        <row r="2419">
          <cell r="B2419">
            <v>2022</v>
          </cell>
          <cell r="C2419">
            <v>16</v>
          </cell>
          <cell r="E2419" t="str">
            <v>PHI</v>
          </cell>
          <cell r="I2419">
            <v>34</v>
          </cell>
          <cell r="J2419">
            <v>40</v>
          </cell>
          <cell r="L2419">
            <v>0</v>
          </cell>
        </row>
        <row r="2420">
          <cell r="B2420">
            <v>2022</v>
          </cell>
          <cell r="C2420">
            <v>17</v>
          </cell>
          <cell r="E2420" t="str">
            <v>PHI</v>
          </cell>
          <cell r="I2420">
            <v>10</v>
          </cell>
          <cell r="J2420">
            <v>20</v>
          </cell>
          <cell r="L2420">
            <v>0</v>
          </cell>
        </row>
        <row r="2421">
          <cell r="B2421">
            <v>2022</v>
          </cell>
          <cell r="C2421">
            <v>18</v>
          </cell>
          <cell r="E2421" t="str">
            <v>PHI</v>
          </cell>
          <cell r="I2421">
            <v>22</v>
          </cell>
          <cell r="J2421">
            <v>16</v>
          </cell>
          <cell r="L2421">
            <v>0</v>
          </cell>
        </row>
        <row r="2422">
          <cell r="B2422">
            <v>2022</v>
          </cell>
          <cell r="C2422">
            <v>2</v>
          </cell>
          <cell r="E2422" t="str">
            <v>PHI</v>
          </cell>
          <cell r="I2422">
            <v>38</v>
          </cell>
          <cell r="J2422">
            <v>7</v>
          </cell>
          <cell r="L2422">
            <v>1</v>
          </cell>
        </row>
        <row r="2423">
          <cell r="B2423">
            <v>2022</v>
          </cell>
          <cell r="C2423">
            <v>3</v>
          </cell>
          <cell r="E2423" t="str">
            <v>PHI</v>
          </cell>
          <cell r="I2423">
            <v>31</v>
          </cell>
          <cell r="J2423">
            <v>7</v>
          </cell>
          <cell r="L2423">
            <v>1</v>
          </cell>
        </row>
        <row r="2424">
          <cell r="B2424">
            <v>2022</v>
          </cell>
          <cell r="C2424">
            <v>5</v>
          </cell>
          <cell r="E2424" t="str">
            <v>PHI</v>
          </cell>
          <cell r="I2424">
            <v>35</v>
          </cell>
          <cell r="J2424">
            <v>38</v>
          </cell>
          <cell r="L2424">
            <v>1</v>
          </cell>
        </row>
        <row r="2425">
          <cell r="B2425">
            <v>2023</v>
          </cell>
          <cell r="C2425">
            <v>1</v>
          </cell>
          <cell r="E2425" t="str">
            <v>PHI</v>
          </cell>
          <cell r="I2425">
            <v>25</v>
          </cell>
          <cell r="J2425">
            <v>20</v>
          </cell>
          <cell r="L2425">
            <v>0</v>
          </cell>
        </row>
        <row r="2426">
          <cell r="B2426">
            <v>2023</v>
          </cell>
          <cell r="C2426">
            <v>2</v>
          </cell>
          <cell r="E2426" t="str">
            <v>PHI</v>
          </cell>
          <cell r="I2426">
            <v>34</v>
          </cell>
          <cell r="J2426">
            <v>28</v>
          </cell>
          <cell r="L2426">
            <v>0</v>
          </cell>
        </row>
        <row r="2427">
          <cell r="B2427">
            <v>2023</v>
          </cell>
          <cell r="C2427">
            <v>3</v>
          </cell>
          <cell r="E2427" t="str">
            <v>PHI</v>
          </cell>
          <cell r="I2427">
            <v>25</v>
          </cell>
          <cell r="J2427">
            <v>11</v>
          </cell>
          <cell r="L2427">
            <v>0</v>
          </cell>
        </row>
        <row r="2428">
          <cell r="B2428">
            <v>2023</v>
          </cell>
          <cell r="C2428">
            <v>4</v>
          </cell>
          <cell r="E2428" t="str">
            <v>PHI</v>
          </cell>
          <cell r="I2428">
            <v>34</v>
          </cell>
          <cell r="J2428">
            <v>31</v>
          </cell>
          <cell r="L2428">
            <v>0</v>
          </cell>
        </row>
        <row r="2429">
          <cell r="B2429">
            <v>2023</v>
          </cell>
          <cell r="C2429">
            <v>5</v>
          </cell>
          <cell r="E2429" t="str">
            <v>PHI</v>
          </cell>
          <cell r="I2429">
            <v>23</v>
          </cell>
          <cell r="J2429">
            <v>14</v>
          </cell>
          <cell r="L2429">
            <v>0</v>
          </cell>
        </row>
        <row r="2430">
          <cell r="B2430">
            <v>2023</v>
          </cell>
          <cell r="C2430">
            <v>6</v>
          </cell>
          <cell r="E2430" t="str">
            <v>PHI</v>
          </cell>
          <cell r="I2430">
            <v>14</v>
          </cell>
          <cell r="J2430">
            <v>20</v>
          </cell>
          <cell r="L2430">
            <v>0</v>
          </cell>
        </row>
        <row r="2431">
          <cell r="B2431">
            <v>2023</v>
          </cell>
          <cell r="C2431">
            <v>7</v>
          </cell>
          <cell r="E2431" t="str">
            <v>PHI</v>
          </cell>
          <cell r="I2431">
            <v>31</v>
          </cell>
          <cell r="J2431">
            <v>17</v>
          </cell>
          <cell r="L2431">
            <v>0</v>
          </cell>
        </row>
        <row r="2432">
          <cell r="B2432">
            <v>2023</v>
          </cell>
          <cell r="C2432">
            <v>8</v>
          </cell>
          <cell r="E2432" t="str">
            <v>PHI</v>
          </cell>
          <cell r="I2432">
            <v>38</v>
          </cell>
          <cell r="J2432">
            <v>31</v>
          </cell>
          <cell r="L2432">
            <v>0</v>
          </cell>
        </row>
        <row r="2433">
          <cell r="B2433">
            <v>2023</v>
          </cell>
          <cell r="C2433">
            <v>9</v>
          </cell>
          <cell r="E2433" t="str">
            <v>PHI</v>
          </cell>
          <cell r="I2433">
            <v>28</v>
          </cell>
          <cell r="J2433">
            <v>23</v>
          </cell>
          <cell r="L2433">
            <v>0</v>
          </cell>
        </row>
        <row r="2434">
          <cell r="B2434">
            <v>2023</v>
          </cell>
          <cell r="C2434">
            <v>11</v>
          </cell>
          <cell r="E2434" t="str">
            <v>PHI</v>
          </cell>
          <cell r="I2434">
            <v>21</v>
          </cell>
          <cell r="J2434">
            <v>17</v>
          </cell>
          <cell r="L2434">
            <v>0</v>
          </cell>
        </row>
        <row r="2435">
          <cell r="B2435">
            <v>2023</v>
          </cell>
          <cell r="C2435">
            <v>12</v>
          </cell>
          <cell r="E2435" t="str">
            <v>PHI</v>
          </cell>
          <cell r="I2435">
            <v>37</v>
          </cell>
          <cell r="J2435">
            <v>34</v>
          </cell>
          <cell r="L2435">
            <v>0</v>
          </cell>
        </row>
        <row r="2436">
          <cell r="B2436">
            <v>2023</v>
          </cell>
          <cell r="C2436">
            <v>13</v>
          </cell>
          <cell r="E2436" t="str">
            <v>PHI</v>
          </cell>
          <cell r="I2436">
            <v>19</v>
          </cell>
          <cell r="J2436">
            <v>42</v>
          </cell>
          <cell r="L2436">
            <v>0</v>
          </cell>
        </row>
        <row r="2437">
          <cell r="B2437">
            <v>2023</v>
          </cell>
          <cell r="C2437">
            <v>14</v>
          </cell>
          <cell r="E2437" t="str">
            <v>PHI</v>
          </cell>
          <cell r="I2437">
            <v>13</v>
          </cell>
          <cell r="J2437">
            <v>33</v>
          </cell>
          <cell r="L2437">
            <v>0</v>
          </cell>
        </row>
        <row r="2438">
          <cell r="B2438">
            <v>2023</v>
          </cell>
          <cell r="C2438">
            <v>15</v>
          </cell>
          <cell r="E2438" t="str">
            <v>PHI</v>
          </cell>
          <cell r="I2438">
            <v>17</v>
          </cell>
          <cell r="J2438">
            <v>20</v>
          </cell>
          <cell r="L2438">
            <v>0</v>
          </cell>
        </row>
        <row r="2439">
          <cell r="B2439">
            <v>2023</v>
          </cell>
          <cell r="C2439">
            <v>16</v>
          </cell>
          <cell r="E2439" t="str">
            <v>PHI</v>
          </cell>
          <cell r="I2439">
            <v>33</v>
          </cell>
          <cell r="J2439">
            <v>25</v>
          </cell>
          <cell r="L2439">
            <v>0</v>
          </cell>
        </row>
        <row r="2440">
          <cell r="B2440">
            <v>2023</v>
          </cell>
          <cell r="C2440">
            <v>17</v>
          </cell>
          <cell r="E2440" t="str">
            <v>PHI</v>
          </cell>
          <cell r="I2440">
            <v>31</v>
          </cell>
          <cell r="J2440">
            <v>35</v>
          </cell>
          <cell r="L2440">
            <v>0</v>
          </cell>
        </row>
        <row r="2441">
          <cell r="B2441">
            <v>2023</v>
          </cell>
          <cell r="C2441">
            <v>18</v>
          </cell>
          <cell r="E2441" t="str">
            <v>PHI</v>
          </cell>
          <cell r="I2441">
            <v>10</v>
          </cell>
          <cell r="J2441">
            <v>27</v>
          </cell>
          <cell r="L2441">
            <v>0</v>
          </cell>
        </row>
        <row r="2442">
          <cell r="B2442">
            <v>2023</v>
          </cell>
          <cell r="C2442">
            <v>1</v>
          </cell>
          <cell r="E2442" t="str">
            <v>PHI</v>
          </cell>
          <cell r="I2442">
            <v>9</v>
          </cell>
          <cell r="J2442">
            <v>32</v>
          </cell>
          <cell r="L2442">
            <v>1</v>
          </cell>
        </row>
        <row r="2443">
          <cell r="B2443">
            <v>2024</v>
          </cell>
          <cell r="C2443">
            <v>1</v>
          </cell>
          <cell r="E2443" t="str">
            <v>PHI</v>
          </cell>
          <cell r="I2443">
            <v>34</v>
          </cell>
          <cell r="J2443">
            <v>29</v>
          </cell>
          <cell r="L2443">
            <v>0</v>
          </cell>
        </row>
        <row r="2444">
          <cell r="B2444">
            <v>2024</v>
          </cell>
          <cell r="C2444">
            <v>2</v>
          </cell>
          <cell r="E2444" t="str">
            <v>PHI</v>
          </cell>
          <cell r="I2444">
            <v>21</v>
          </cell>
          <cell r="J2444">
            <v>22</v>
          </cell>
          <cell r="L2444">
            <v>0</v>
          </cell>
        </row>
        <row r="2445">
          <cell r="B2445">
            <v>2024</v>
          </cell>
          <cell r="C2445">
            <v>3</v>
          </cell>
          <cell r="E2445" t="str">
            <v>PHI</v>
          </cell>
          <cell r="I2445">
            <v>15</v>
          </cell>
          <cell r="J2445">
            <v>12</v>
          </cell>
          <cell r="L2445">
            <v>0</v>
          </cell>
        </row>
        <row r="2446">
          <cell r="B2446">
            <v>2024</v>
          </cell>
          <cell r="C2446">
            <v>4</v>
          </cell>
          <cell r="E2446" t="str">
            <v>PHI</v>
          </cell>
          <cell r="I2446">
            <v>16</v>
          </cell>
          <cell r="J2446">
            <v>33</v>
          </cell>
          <cell r="L2446">
            <v>0</v>
          </cell>
        </row>
        <row r="2447">
          <cell r="B2447">
            <v>2024</v>
          </cell>
          <cell r="C2447">
            <v>6</v>
          </cell>
          <cell r="E2447" t="str">
            <v>PHI</v>
          </cell>
          <cell r="I2447">
            <v>20</v>
          </cell>
          <cell r="J2447">
            <v>16</v>
          </cell>
          <cell r="L2447">
            <v>0</v>
          </cell>
        </row>
        <row r="2448">
          <cell r="B2448">
            <v>2024</v>
          </cell>
          <cell r="C2448">
            <v>7</v>
          </cell>
          <cell r="E2448" t="str">
            <v>PHI</v>
          </cell>
          <cell r="I2448">
            <v>28</v>
          </cell>
          <cell r="J2448">
            <v>3</v>
          </cell>
          <cell r="L2448">
            <v>0</v>
          </cell>
        </row>
        <row r="2449">
          <cell r="B2449">
            <v>2024</v>
          </cell>
          <cell r="C2449">
            <v>8</v>
          </cell>
          <cell r="E2449" t="str">
            <v>PHI</v>
          </cell>
          <cell r="I2449">
            <v>37</v>
          </cell>
          <cell r="J2449">
            <v>17</v>
          </cell>
          <cell r="L2449">
            <v>0</v>
          </cell>
        </row>
        <row r="2450">
          <cell r="B2450">
            <v>2024</v>
          </cell>
          <cell r="C2450">
            <v>9</v>
          </cell>
          <cell r="E2450" t="str">
            <v>PHI</v>
          </cell>
          <cell r="I2450">
            <v>28</v>
          </cell>
          <cell r="J2450">
            <v>23</v>
          </cell>
          <cell r="L2450">
            <v>0</v>
          </cell>
        </row>
        <row r="2451">
          <cell r="B2451">
            <v>2024</v>
          </cell>
          <cell r="C2451">
            <v>10</v>
          </cell>
          <cell r="E2451" t="str">
            <v>PHI</v>
          </cell>
          <cell r="I2451">
            <v>34</v>
          </cell>
          <cell r="J2451">
            <v>6</v>
          </cell>
          <cell r="L2451">
            <v>0</v>
          </cell>
        </row>
        <row r="2452">
          <cell r="B2452">
            <v>2024</v>
          </cell>
          <cell r="C2452">
            <v>11</v>
          </cell>
          <cell r="E2452" t="str">
            <v>PHI</v>
          </cell>
          <cell r="I2452">
            <v>26</v>
          </cell>
          <cell r="J2452">
            <v>18</v>
          </cell>
          <cell r="L2452">
            <v>0</v>
          </cell>
        </row>
        <row r="2453">
          <cell r="B2453">
            <v>2024</v>
          </cell>
          <cell r="C2453">
            <v>12</v>
          </cell>
          <cell r="E2453" t="str">
            <v>PHI</v>
          </cell>
          <cell r="I2453">
            <v>37</v>
          </cell>
          <cell r="J2453">
            <v>20</v>
          </cell>
          <cell r="L2453">
            <v>0</v>
          </cell>
        </row>
        <row r="2454">
          <cell r="B2454">
            <v>2024</v>
          </cell>
          <cell r="C2454">
            <v>13</v>
          </cell>
          <cell r="E2454" t="str">
            <v>PHI</v>
          </cell>
          <cell r="I2454">
            <v>24</v>
          </cell>
          <cell r="J2454">
            <v>19</v>
          </cell>
          <cell r="L2454">
            <v>0</v>
          </cell>
        </row>
        <row r="2455">
          <cell r="B2455">
            <v>2024</v>
          </cell>
          <cell r="C2455">
            <v>14</v>
          </cell>
          <cell r="E2455" t="str">
            <v>PHI</v>
          </cell>
          <cell r="I2455">
            <v>22</v>
          </cell>
          <cell r="J2455">
            <v>16</v>
          </cell>
          <cell r="L2455">
            <v>0</v>
          </cell>
        </row>
        <row r="2456">
          <cell r="B2456">
            <v>2024</v>
          </cell>
          <cell r="C2456">
            <v>15</v>
          </cell>
          <cell r="E2456" t="str">
            <v>PHI</v>
          </cell>
          <cell r="I2456">
            <v>27</v>
          </cell>
          <cell r="J2456">
            <v>13</v>
          </cell>
          <cell r="L2456">
            <v>0</v>
          </cell>
        </row>
        <row r="2457">
          <cell r="B2457">
            <v>2024</v>
          </cell>
          <cell r="C2457">
            <v>16</v>
          </cell>
          <cell r="E2457" t="str">
            <v>PHI</v>
          </cell>
          <cell r="I2457">
            <v>33</v>
          </cell>
          <cell r="J2457">
            <v>36</v>
          </cell>
          <cell r="L2457">
            <v>0</v>
          </cell>
        </row>
        <row r="2458">
          <cell r="B2458">
            <v>2024</v>
          </cell>
          <cell r="C2458">
            <v>17</v>
          </cell>
          <cell r="E2458" t="str">
            <v>PHI</v>
          </cell>
          <cell r="I2458">
            <v>41</v>
          </cell>
          <cell r="J2458">
            <v>7</v>
          </cell>
          <cell r="L2458">
            <v>0</v>
          </cell>
        </row>
        <row r="2459">
          <cell r="B2459">
            <v>2024</v>
          </cell>
          <cell r="C2459">
            <v>18</v>
          </cell>
          <cell r="E2459" t="str">
            <v>PHI</v>
          </cell>
          <cell r="I2459">
            <v>20</v>
          </cell>
          <cell r="J2459">
            <v>13</v>
          </cell>
          <cell r="L2459">
            <v>0</v>
          </cell>
        </row>
        <row r="2460">
          <cell r="B2460">
            <v>2024</v>
          </cell>
          <cell r="C2460">
            <v>1</v>
          </cell>
          <cell r="E2460" t="str">
            <v>PHI</v>
          </cell>
          <cell r="I2460">
            <v>22</v>
          </cell>
          <cell r="J2460">
            <v>10</v>
          </cell>
          <cell r="L2460">
            <v>1</v>
          </cell>
        </row>
        <row r="2461">
          <cell r="B2461">
            <v>2024</v>
          </cell>
          <cell r="C2461">
            <v>2</v>
          </cell>
          <cell r="E2461" t="str">
            <v>PHI</v>
          </cell>
          <cell r="I2461">
            <v>28</v>
          </cell>
          <cell r="J2461">
            <v>22</v>
          </cell>
          <cell r="L2461">
            <v>1</v>
          </cell>
        </row>
        <row r="2462">
          <cell r="B2462">
            <v>2024</v>
          </cell>
          <cell r="C2462">
            <v>3</v>
          </cell>
          <cell r="E2462" t="str">
            <v>PHI</v>
          </cell>
          <cell r="I2462">
            <v>55</v>
          </cell>
          <cell r="J2462">
            <v>23</v>
          </cell>
          <cell r="L2462">
            <v>1</v>
          </cell>
        </row>
        <row r="2463">
          <cell r="B2463">
            <v>2024</v>
          </cell>
          <cell r="C2463">
            <v>5</v>
          </cell>
          <cell r="E2463" t="str">
            <v>PHI</v>
          </cell>
          <cell r="I2463">
            <v>40</v>
          </cell>
          <cell r="J2463">
            <v>22</v>
          </cell>
          <cell r="L2463">
            <v>1</v>
          </cell>
        </row>
        <row r="2464">
          <cell r="B2464">
            <v>2025</v>
          </cell>
          <cell r="C2464">
            <v>1</v>
          </cell>
          <cell r="E2464" t="str">
            <v>PHI</v>
          </cell>
          <cell r="I2464">
            <v>24</v>
          </cell>
          <cell r="J2464">
            <v>20</v>
          </cell>
          <cell r="L2464">
            <v>0</v>
          </cell>
        </row>
        <row r="2465">
          <cell r="B2465">
            <v>2025</v>
          </cell>
          <cell r="C2465">
            <v>2</v>
          </cell>
          <cell r="E2465" t="str">
            <v>PHI</v>
          </cell>
          <cell r="I2465">
            <v>20</v>
          </cell>
          <cell r="J2465">
            <v>17</v>
          </cell>
          <cell r="L2465">
            <v>0</v>
          </cell>
        </row>
        <row r="2466">
          <cell r="B2466">
            <v>2025</v>
          </cell>
          <cell r="C2466">
            <v>3</v>
          </cell>
          <cell r="E2466" t="str">
            <v>PHI</v>
          </cell>
          <cell r="I2466">
            <v>33</v>
          </cell>
          <cell r="J2466">
            <v>26</v>
          </cell>
          <cell r="L2466">
            <v>0</v>
          </cell>
        </row>
        <row r="2467">
          <cell r="B2467">
            <v>2025</v>
          </cell>
          <cell r="C2467">
            <v>4</v>
          </cell>
          <cell r="E2467" t="str">
            <v>PHI</v>
          </cell>
          <cell r="I2467">
            <v>31</v>
          </cell>
          <cell r="J2467">
            <v>25</v>
          </cell>
          <cell r="L2467">
            <v>0</v>
          </cell>
        </row>
        <row r="2468">
          <cell r="B2468">
            <v>2025</v>
          </cell>
          <cell r="C2468">
            <v>5</v>
          </cell>
          <cell r="E2468" t="str">
            <v>PHI</v>
          </cell>
          <cell r="I2468">
            <v>17</v>
          </cell>
          <cell r="J2468">
            <v>21</v>
          </cell>
          <cell r="L2468">
            <v>0</v>
          </cell>
        </row>
        <row r="2469">
          <cell r="B2469">
            <v>2025</v>
          </cell>
          <cell r="C2469">
            <v>6</v>
          </cell>
          <cell r="E2469" t="str">
            <v>PHI</v>
          </cell>
          <cell r="I2469">
            <v>17</v>
          </cell>
          <cell r="J2469">
            <v>34</v>
          </cell>
          <cell r="L2469">
            <v>0</v>
          </cell>
        </row>
        <row r="2470">
          <cell r="B2470">
            <v>2025</v>
          </cell>
          <cell r="C2470">
            <v>7</v>
          </cell>
          <cell r="E2470" t="str">
            <v>PHI</v>
          </cell>
          <cell r="I2470">
            <v>28</v>
          </cell>
          <cell r="J2470">
            <v>22</v>
          </cell>
          <cell r="L2470">
            <v>0</v>
          </cell>
        </row>
        <row r="2471">
          <cell r="B2471">
            <v>2025</v>
          </cell>
          <cell r="C2471">
            <v>8</v>
          </cell>
          <cell r="E2471" t="str">
            <v>PHI</v>
          </cell>
          <cell r="I2471">
            <v>38</v>
          </cell>
          <cell r="J2471">
            <v>20</v>
          </cell>
          <cell r="L2471">
            <v>0</v>
          </cell>
        </row>
        <row r="2472">
          <cell r="B2472">
            <v>2025</v>
          </cell>
          <cell r="C2472">
            <v>10</v>
          </cell>
          <cell r="E2472" t="str">
            <v>PHI</v>
          </cell>
          <cell r="I2472">
            <v>10</v>
          </cell>
          <cell r="J2472">
            <v>7</v>
          </cell>
          <cell r="L2472">
            <v>0</v>
          </cell>
        </row>
        <row r="2473">
          <cell r="B2473">
            <v>2025</v>
          </cell>
          <cell r="C2473">
            <v>11</v>
          </cell>
          <cell r="E2473" t="str">
            <v>PHI</v>
          </cell>
          <cell r="I2473">
            <v>16</v>
          </cell>
          <cell r="J2473">
            <v>9</v>
          </cell>
          <cell r="L2473">
            <v>0</v>
          </cell>
        </row>
        <row r="2474">
          <cell r="B2474">
            <v>2025</v>
          </cell>
          <cell r="C2474">
            <v>12</v>
          </cell>
          <cell r="E2474" t="str">
            <v>PHI</v>
          </cell>
          <cell r="I2474">
            <v>21</v>
          </cell>
          <cell r="J2474">
            <v>24</v>
          </cell>
          <cell r="L2474">
            <v>0</v>
          </cell>
        </row>
        <row r="2475">
          <cell r="B2475">
            <v>2025</v>
          </cell>
          <cell r="C2475">
            <v>13</v>
          </cell>
          <cell r="E2475" t="str">
            <v>PHI</v>
          </cell>
          <cell r="I2475">
            <v>15</v>
          </cell>
          <cell r="J2475">
            <v>24</v>
          </cell>
          <cell r="L2475">
            <v>0</v>
          </cell>
        </row>
        <row r="2476">
          <cell r="B2476">
            <v>2025</v>
          </cell>
          <cell r="C2476">
            <v>14</v>
          </cell>
          <cell r="E2476" t="str">
            <v>PHI</v>
          </cell>
          <cell r="I2476">
            <v>19</v>
          </cell>
          <cell r="J2476">
            <v>22</v>
          </cell>
          <cell r="L2476">
            <v>0</v>
          </cell>
        </row>
        <row r="2477">
          <cell r="B2477">
            <v>2025</v>
          </cell>
          <cell r="C2477">
            <v>15</v>
          </cell>
          <cell r="E2477" t="str">
            <v>PHI</v>
          </cell>
          <cell r="I2477">
            <v>31</v>
          </cell>
          <cell r="J2477">
            <v>0</v>
          </cell>
          <cell r="L2477">
            <v>0</v>
          </cell>
        </row>
        <row r="2478">
          <cell r="B2478">
            <v>2025</v>
          </cell>
          <cell r="C2478">
            <v>16</v>
          </cell>
          <cell r="E2478" t="str">
            <v>PHI</v>
          </cell>
          <cell r="I2478">
            <v>29</v>
          </cell>
          <cell r="J2478">
            <v>18</v>
          </cell>
          <cell r="L2478">
            <v>0</v>
          </cell>
        </row>
        <row r="2479">
          <cell r="B2479">
            <v>2025</v>
          </cell>
          <cell r="C2479">
            <v>17</v>
          </cell>
          <cell r="E2479" t="str">
            <v>PHI</v>
          </cell>
          <cell r="I2479">
            <v>13</v>
          </cell>
          <cell r="J2479">
            <v>12</v>
          </cell>
          <cell r="L2479">
            <v>0</v>
          </cell>
        </row>
        <row r="2480">
          <cell r="B2480">
            <v>2025</v>
          </cell>
          <cell r="C2480">
            <v>18</v>
          </cell>
          <cell r="E2480" t="str">
            <v>PHI</v>
          </cell>
          <cell r="I2480">
            <v>17</v>
          </cell>
          <cell r="J2480">
            <v>24</v>
          </cell>
          <cell r="L2480">
            <v>0</v>
          </cell>
        </row>
        <row r="2481">
          <cell r="B2481">
            <v>2025</v>
          </cell>
          <cell r="C2481">
            <v>1</v>
          </cell>
          <cell r="E2481" t="str">
            <v>PHI</v>
          </cell>
          <cell r="I2481">
            <v>19</v>
          </cell>
          <cell r="J2481">
            <v>23</v>
          </cell>
          <cell r="L2481">
            <v>1</v>
          </cell>
        </row>
        <row r="2482">
          <cell r="B2482">
            <v>2026</v>
          </cell>
          <cell r="C2482">
            <v>1</v>
          </cell>
          <cell r="E2482" t="str">
            <v>PHI</v>
          </cell>
          <cell r="I2482">
            <v>24</v>
          </cell>
          <cell r="J2482">
            <v>22</v>
          </cell>
          <cell r="L2482">
            <v>0</v>
          </cell>
        </row>
        <row r="2483">
          <cell r="B2483">
            <v>2026</v>
          </cell>
          <cell r="C2483">
            <v>2</v>
          </cell>
          <cell r="E2483" t="str">
            <v>PHI</v>
          </cell>
          <cell r="I2483">
            <v>24</v>
          </cell>
          <cell r="J2483">
            <v>20</v>
          </cell>
          <cell r="L2483">
            <v>0</v>
          </cell>
        </row>
        <row r="2484">
          <cell r="B2484">
            <v>2026</v>
          </cell>
          <cell r="C2484">
            <v>3</v>
          </cell>
          <cell r="E2484" t="str">
            <v>PHI</v>
          </cell>
          <cell r="I2484">
            <v>7</v>
          </cell>
          <cell r="J2484">
            <v>27</v>
          </cell>
          <cell r="L2484">
            <v>0</v>
          </cell>
        </row>
        <row r="2485">
          <cell r="B2485">
            <v>2026</v>
          </cell>
          <cell r="C2485">
            <v>4</v>
          </cell>
          <cell r="E2485" t="str">
            <v>PHI</v>
          </cell>
          <cell r="I2485">
            <v>20</v>
          </cell>
          <cell r="J2485">
            <v>24</v>
          </cell>
          <cell r="L2485">
            <v>0</v>
          </cell>
        </row>
        <row r="2486">
          <cell r="B2486">
            <v>2026</v>
          </cell>
          <cell r="C2486">
            <v>5</v>
          </cell>
          <cell r="E2486" t="str">
            <v>PHI</v>
          </cell>
          <cell r="I2486">
            <v>17</v>
          </cell>
          <cell r="J2486">
            <v>19</v>
          </cell>
          <cell r="L2486">
            <v>0</v>
          </cell>
        </row>
        <row r="2487">
          <cell r="B2487">
            <v>2026</v>
          </cell>
          <cell r="C2487">
            <v>6</v>
          </cell>
          <cell r="E2487" t="str">
            <v>PHI</v>
          </cell>
          <cell r="I2487">
            <v>14</v>
          </cell>
          <cell r="J2487">
            <v>25</v>
          </cell>
          <cell r="L2487">
            <v>0</v>
          </cell>
        </row>
        <row r="2488">
          <cell r="B2488">
            <v>2026</v>
          </cell>
          <cell r="C2488">
            <v>7</v>
          </cell>
          <cell r="E2488" t="str">
            <v>PHI</v>
          </cell>
          <cell r="L2488">
            <v>0</v>
          </cell>
        </row>
        <row r="2489">
          <cell r="B2489">
            <v>2018</v>
          </cell>
          <cell r="C2489">
            <v>1</v>
          </cell>
          <cell r="E2489" t="str">
            <v>DAL</v>
          </cell>
          <cell r="I2489">
            <v>8</v>
          </cell>
          <cell r="J2489">
            <v>16</v>
          </cell>
          <cell r="L2489">
            <v>0</v>
          </cell>
        </row>
        <row r="2490">
          <cell r="B2490">
            <v>2018</v>
          </cell>
          <cell r="C2490">
            <v>2</v>
          </cell>
          <cell r="E2490" t="str">
            <v>DAL</v>
          </cell>
          <cell r="I2490">
            <v>20</v>
          </cell>
          <cell r="J2490">
            <v>13</v>
          </cell>
          <cell r="L2490">
            <v>0</v>
          </cell>
        </row>
        <row r="2491">
          <cell r="B2491">
            <v>2018</v>
          </cell>
          <cell r="C2491">
            <v>3</v>
          </cell>
          <cell r="E2491" t="str">
            <v>DAL</v>
          </cell>
          <cell r="I2491">
            <v>13</v>
          </cell>
          <cell r="J2491">
            <v>24</v>
          </cell>
          <cell r="L2491">
            <v>0</v>
          </cell>
        </row>
        <row r="2492">
          <cell r="B2492">
            <v>2018</v>
          </cell>
          <cell r="C2492">
            <v>4</v>
          </cell>
          <cell r="E2492" t="str">
            <v>DAL</v>
          </cell>
          <cell r="I2492">
            <v>26</v>
          </cell>
          <cell r="J2492">
            <v>24</v>
          </cell>
          <cell r="L2492">
            <v>0</v>
          </cell>
        </row>
        <row r="2493">
          <cell r="B2493">
            <v>2018</v>
          </cell>
          <cell r="C2493">
            <v>5</v>
          </cell>
          <cell r="E2493" t="str">
            <v>DAL</v>
          </cell>
          <cell r="I2493">
            <v>16</v>
          </cell>
          <cell r="J2493">
            <v>19</v>
          </cell>
          <cell r="L2493">
            <v>0</v>
          </cell>
        </row>
        <row r="2494">
          <cell r="B2494">
            <v>2018</v>
          </cell>
          <cell r="C2494">
            <v>6</v>
          </cell>
          <cell r="E2494" t="str">
            <v>DAL</v>
          </cell>
          <cell r="I2494">
            <v>40</v>
          </cell>
          <cell r="J2494">
            <v>7</v>
          </cell>
          <cell r="L2494">
            <v>0</v>
          </cell>
        </row>
        <row r="2495">
          <cell r="B2495">
            <v>2018</v>
          </cell>
          <cell r="C2495">
            <v>7</v>
          </cell>
          <cell r="E2495" t="str">
            <v>DAL</v>
          </cell>
          <cell r="I2495">
            <v>17</v>
          </cell>
          <cell r="J2495">
            <v>20</v>
          </cell>
          <cell r="L2495">
            <v>0</v>
          </cell>
        </row>
        <row r="2496">
          <cell r="B2496">
            <v>2018</v>
          </cell>
          <cell r="C2496">
            <v>9</v>
          </cell>
          <cell r="E2496" t="str">
            <v>DAL</v>
          </cell>
          <cell r="I2496">
            <v>14</v>
          </cell>
          <cell r="J2496">
            <v>28</v>
          </cell>
          <cell r="L2496">
            <v>0</v>
          </cell>
        </row>
        <row r="2497">
          <cell r="B2497">
            <v>2018</v>
          </cell>
          <cell r="C2497">
            <v>10</v>
          </cell>
          <cell r="E2497" t="str">
            <v>DAL</v>
          </cell>
          <cell r="I2497">
            <v>27</v>
          </cell>
          <cell r="J2497">
            <v>20</v>
          </cell>
          <cell r="L2497">
            <v>0</v>
          </cell>
        </row>
        <row r="2498">
          <cell r="B2498">
            <v>2018</v>
          </cell>
          <cell r="C2498">
            <v>11</v>
          </cell>
          <cell r="E2498" t="str">
            <v>DAL</v>
          </cell>
          <cell r="I2498">
            <v>22</v>
          </cell>
          <cell r="J2498">
            <v>19</v>
          </cell>
          <cell r="L2498">
            <v>0</v>
          </cell>
        </row>
        <row r="2499">
          <cell r="B2499">
            <v>2018</v>
          </cell>
          <cell r="C2499">
            <v>12</v>
          </cell>
          <cell r="E2499" t="str">
            <v>DAL</v>
          </cell>
          <cell r="I2499">
            <v>31</v>
          </cell>
          <cell r="J2499">
            <v>23</v>
          </cell>
          <cell r="L2499">
            <v>0</v>
          </cell>
        </row>
        <row r="2500">
          <cell r="B2500">
            <v>2018</v>
          </cell>
          <cell r="C2500">
            <v>13</v>
          </cell>
          <cell r="E2500" t="str">
            <v>DAL</v>
          </cell>
          <cell r="I2500">
            <v>13</v>
          </cell>
          <cell r="J2500">
            <v>10</v>
          </cell>
          <cell r="L2500">
            <v>0</v>
          </cell>
        </row>
        <row r="2501">
          <cell r="B2501">
            <v>2018</v>
          </cell>
          <cell r="C2501">
            <v>14</v>
          </cell>
          <cell r="E2501" t="str">
            <v>DAL</v>
          </cell>
          <cell r="I2501">
            <v>29</v>
          </cell>
          <cell r="J2501">
            <v>23</v>
          </cell>
          <cell r="L2501">
            <v>0</v>
          </cell>
        </row>
        <row r="2502">
          <cell r="B2502">
            <v>2018</v>
          </cell>
          <cell r="C2502">
            <v>15</v>
          </cell>
          <cell r="E2502" t="str">
            <v>DAL</v>
          </cell>
          <cell r="I2502">
            <v>0</v>
          </cell>
          <cell r="J2502">
            <v>23</v>
          </cell>
          <cell r="L2502">
            <v>0</v>
          </cell>
        </row>
        <row r="2503">
          <cell r="B2503">
            <v>2018</v>
          </cell>
          <cell r="C2503">
            <v>16</v>
          </cell>
          <cell r="E2503" t="str">
            <v>DAL</v>
          </cell>
          <cell r="I2503">
            <v>27</v>
          </cell>
          <cell r="J2503">
            <v>20</v>
          </cell>
          <cell r="L2503">
            <v>0</v>
          </cell>
        </row>
        <row r="2504">
          <cell r="B2504">
            <v>2018</v>
          </cell>
          <cell r="C2504">
            <v>17</v>
          </cell>
          <cell r="E2504" t="str">
            <v>DAL</v>
          </cell>
          <cell r="I2504">
            <v>36</v>
          </cell>
          <cell r="J2504">
            <v>35</v>
          </cell>
          <cell r="L2504">
            <v>0</v>
          </cell>
        </row>
        <row r="2505">
          <cell r="B2505">
            <v>2018</v>
          </cell>
          <cell r="C2505">
            <v>1</v>
          </cell>
          <cell r="E2505" t="str">
            <v>DAL</v>
          </cell>
          <cell r="I2505">
            <v>24</v>
          </cell>
          <cell r="J2505">
            <v>22</v>
          </cell>
          <cell r="L2505">
            <v>1</v>
          </cell>
        </row>
        <row r="2506">
          <cell r="B2506">
            <v>2018</v>
          </cell>
          <cell r="C2506">
            <v>2</v>
          </cell>
          <cell r="E2506" t="str">
            <v>DAL</v>
          </cell>
          <cell r="I2506">
            <v>22</v>
          </cell>
          <cell r="J2506">
            <v>30</v>
          </cell>
          <cell r="L2506">
            <v>1</v>
          </cell>
        </row>
        <row r="2507">
          <cell r="B2507">
            <v>2019</v>
          </cell>
          <cell r="C2507">
            <v>1</v>
          </cell>
          <cell r="E2507" t="str">
            <v>DAL</v>
          </cell>
          <cell r="I2507">
            <v>35</v>
          </cell>
          <cell r="J2507">
            <v>17</v>
          </cell>
          <cell r="L2507">
            <v>0</v>
          </cell>
        </row>
        <row r="2508">
          <cell r="B2508">
            <v>2019</v>
          </cell>
          <cell r="C2508">
            <v>2</v>
          </cell>
          <cell r="E2508" t="str">
            <v>DAL</v>
          </cell>
          <cell r="I2508">
            <v>31</v>
          </cell>
          <cell r="J2508">
            <v>21</v>
          </cell>
          <cell r="L2508">
            <v>0</v>
          </cell>
        </row>
        <row r="2509">
          <cell r="B2509">
            <v>2019</v>
          </cell>
          <cell r="C2509">
            <v>3</v>
          </cell>
          <cell r="E2509" t="str">
            <v>DAL</v>
          </cell>
          <cell r="I2509">
            <v>31</v>
          </cell>
          <cell r="J2509">
            <v>6</v>
          </cell>
          <cell r="L2509">
            <v>0</v>
          </cell>
        </row>
        <row r="2510">
          <cell r="B2510">
            <v>2019</v>
          </cell>
          <cell r="C2510">
            <v>4</v>
          </cell>
          <cell r="E2510" t="str">
            <v>DAL</v>
          </cell>
          <cell r="I2510">
            <v>10</v>
          </cell>
          <cell r="J2510">
            <v>12</v>
          </cell>
          <cell r="L2510">
            <v>0</v>
          </cell>
        </row>
        <row r="2511">
          <cell r="B2511">
            <v>2019</v>
          </cell>
          <cell r="C2511">
            <v>5</v>
          </cell>
          <cell r="E2511" t="str">
            <v>DAL</v>
          </cell>
          <cell r="I2511">
            <v>24</v>
          </cell>
          <cell r="J2511">
            <v>34</v>
          </cell>
          <cell r="L2511">
            <v>0</v>
          </cell>
        </row>
        <row r="2512">
          <cell r="B2512">
            <v>2019</v>
          </cell>
          <cell r="C2512">
            <v>6</v>
          </cell>
          <cell r="E2512" t="str">
            <v>DAL</v>
          </cell>
          <cell r="I2512">
            <v>22</v>
          </cell>
          <cell r="J2512">
            <v>24</v>
          </cell>
          <cell r="L2512">
            <v>0</v>
          </cell>
        </row>
        <row r="2513">
          <cell r="B2513">
            <v>2019</v>
          </cell>
          <cell r="C2513">
            <v>7</v>
          </cell>
          <cell r="E2513" t="str">
            <v>DAL</v>
          </cell>
          <cell r="I2513">
            <v>37</v>
          </cell>
          <cell r="J2513">
            <v>10</v>
          </cell>
          <cell r="L2513">
            <v>0</v>
          </cell>
        </row>
        <row r="2514">
          <cell r="B2514">
            <v>2019</v>
          </cell>
          <cell r="C2514">
            <v>9</v>
          </cell>
          <cell r="E2514" t="str">
            <v>DAL</v>
          </cell>
          <cell r="I2514">
            <v>37</v>
          </cell>
          <cell r="J2514">
            <v>18</v>
          </cell>
          <cell r="L2514">
            <v>0</v>
          </cell>
        </row>
        <row r="2515">
          <cell r="B2515">
            <v>2019</v>
          </cell>
          <cell r="C2515">
            <v>10</v>
          </cell>
          <cell r="E2515" t="str">
            <v>DAL</v>
          </cell>
          <cell r="I2515">
            <v>24</v>
          </cell>
          <cell r="J2515">
            <v>28</v>
          </cell>
          <cell r="L2515">
            <v>0</v>
          </cell>
        </row>
        <row r="2516">
          <cell r="B2516">
            <v>2019</v>
          </cell>
          <cell r="C2516">
            <v>11</v>
          </cell>
          <cell r="E2516" t="str">
            <v>DAL</v>
          </cell>
          <cell r="I2516">
            <v>35</v>
          </cell>
          <cell r="J2516">
            <v>27</v>
          </cell>
          <cell r="L2516">
            <v>0</v>
          </cell>
        </row>
        <row r="2517">
          <cell r="B2517">
            <v>2019</v>
          </cell>
          <cell r="C2517">
            <v>12</v>
          </cell>
          <cell r="E2517" t="str">
            <v>DAL</v>
          </cell>
          <cell r="I2517">
            <v>9</v>
          </cell>
          <cell r="J2517">
            <v>13</v>
          </cell>
          <cell r="L2517">
            <v>0</v>
          </cell>
        </row>
        <row r="2518">
          <cell r="B2518">
            <v>2019</v>
          </cell>
          <cell r="C2518">
            <v>13</v>
          </cell>
          <cell r="E2518" t="str">
            <v>DAL</v>
          </cell>
          <cell r="I2518">
            <v>15</v>
          </cell>
          <cell r="J2518">
            <v>26</v>
          </cell>
          <cell r="L2518">
            <v>0</v>
          </cell>
        </row>
        <row r="2519">
          <cell r="B2519">
            <v>2019</v>
          </cell>
          <cell r="C2519">
            <v>14</v>
          </cell>
          <cell r="E2519" t="str">
            <v>DAL</v>
          </cell>
          <cell r="I2519">
            <v>24</v>
          </cell>
          <cell r="J2519">
            <v>31</v>
          </cell>
          <cell r="L2519">
            <v>0</v>
          </cell>
        </row>
        <row r="2520">
          <cell r="B2520">
            <v>2019</v>
          </cell>
          <cell r="C2520">
            <v>15</v>
          </cell>
          <cell r="E2520" t="str">
            <v>DAL</v>
          </cell>
          <cell r="I2520">
            <v>44</v>
          </cell>
          <cell r="J2520">
            <v>21</v>
          </cell>
          <cell r="L2520">
            <v>0</v>
          </cell>
        </row>
        <row r="2521">
          <cell r="B2521">
            <v>2019</v>
          </cell>
          <cell r="C2521">
            <v>16</v>
          </cell>
          <cell r="E2521" t="str">
            <v>DAL</v>
          </cell>
          <cell r="I2521">
            <v>9</v>
          </cell>
          <cell r="J2521">
            <v>17</v>
          </cell>
          <cell r="L2521">
            <v>0</v>
          </cell>
        </row>
        <row r="2522">
          <cell r="B2522">
            <v>2019</v>
          </cell>
          <cell r="C2522">
            <v>17</v>
          </cell>
          <cell r="E2522" t="str">
            <v>DAL</v>
          </cell>
          <cell r="I2522">
            <v>47</v>
          </cell>
          <cell r="J2522">
            <v>16</v>
          </cell>
          <cell r="L2522">
            <v>0</v>
          </cell>
        </row>
        <row r="2523">
          <cell r="B2523">
            <v>2020</v>
          </cell>
          <cell r="C2523">
            <v>1</v>
          </cell>
          <cell r="E2523" t="str">
            <v>DAL</v>
          </cell>
          <cell r="I2523">
            <v>17</v>
          </cell>
          <cell r="J2523">
            <v>20</v>
          </cell>
          <cell r="L2523">
            <v>0</v>
          </cell>
        </row>
        <row r="2524">
          <cell r="B2524">
            <v>2020</v>
          </cell>
          <cell r="C2524">
            <v>2</v>
          </cell>
          <cell r="E2524" t="str">
            <v>DAL</v>
          </cell>
          <cell r="I2524">
            <v>40</v>
          </cell>
          <cell r="J2524">
            <v>39</v>
          </cell>
          <cell r="L2524">
            <v>0</v>
          </cell>
        </row>
        <row r="2525">
          <cell r="B2525">
            <v>2020</v>
          </cell>
          <cell r="C2525">
            <v>3</v>
          </cell>
          <cell r="E2525" t="str">
            <v>DAL</v>
          </cell>
          <cell r="I2525">
            <v>31</v>
          </cell>
          <cell r="J2525">
            <v>38</v>
          </cell>
          <cell r="L2525">
            <v>0</v>
          </cell>
        </row>
        <row r="2526">
          <cell r="B2526">
            <v>2020</v>
          </cell>
          <cell r="C2526">
            <v>4</v>
          </cell>
          <cell r="E2526" t="str">
            <v>DAL</v>
          </cell>
          <cell r="I2526">
            <v>38</v>
          </cell>
          <cell r="J2526">
            <v>49</v>
          </cell>
          <cell r="L2526">
            <v>0</v>
          </cell>
        </row>
        <row r="2527">
          <cell r="B2527">
            <v>2020</v>
          </cell>
          <cell r="C2527">
            <v>5</v>
          </cell>
          <cell r="E2527" t="str">
            <v>DAL</v>
          </cell>
          <cell r="I2527">
            <v>37</v>
          </cell>
          <cell r="J2527">
            <v>34</v>
          </cell>
          <cell r="L2527">
            <v>0</v>
          </cell>
        </row>
        <row r="2528">
          <cell r="B2528">
            <v>2020</v>
          </cell>
          <cell r="C2528">
            <v>6</v>
          </cell>
          <cell r="E2528" t="str">
            <v>DAL</v>
          </cell>
          <cell r="I2528">
            <v>10</v>
          </cell>
          <cell r="J2528">
            <v>38</v>
          </cell>
          <cell r="L2528">
            <v>0</v>
          </cell>
        </row>
        <row r="2529">
          <cell r="B2529">
            <v>2020</v>
          </cell>
          <cell r="C2529">
            <v>7</v>
          </cell>
          <cell r="E2529" t="str">
            <v>DAL</v>
          </cell>
          <cell r="I2529">
            <v>3</v>
          </cell>
          <cell r="J2529">
            <v>25</v>
          </cell>
          <cell r="L2529">
            <v>0</v>
          </cell>
        </row>
        <row r="2530">
          <cell r="B2530">
            <v>2020</v>
          </cell>
          <cell r="C2530">
            <v>8</v>
          </cell>
          <cell r="E2530" t="str">
            <v>DAL</v>
          </cell>
          <cell r="I2530">
            <v>9</v>
          </cell>
          <cell r="J2530">
            <v>23</v>
          </cell>
          <cell r="L2530">
            <v>0</v>
          </cell>
        </row>
        <row r="2531">
          <cell r="B2531">
            <v>2020</v>
          </cell>
          <cell r="C2531">
            <v>9</v>
          </cell>
          <cell r="E2531" t="str">
            <v>DAL</v>
          </cell>
          <cell r="I2531">
            <v>19</v>
          </cell>
          <cell r="J2531">
            <v>24</v>
          </cell>
          <cell r="L2531">
            <v>0</v>
          </cell>
        </row>
        <row r="2532">
          <cell r="B2532">
            <v>2020</v>
          </cell>
          <cell r="C2532">
            <v>11</v>
          </cell>
          <cell r="E2532" t="str">
            <v>DAL</v>
          </cell>
          <cell r="I2532">
            <v>31</v>
          </cell>
          <cell r="J2532">
            <v>28</v>
          </cell>
          <cell r="L2532">
            <v>0</v>
          </cell>
        </row>
        <row r="2533">
          <cell r="B2533">
            <v>2020</v>
          </cell>
          <cell r="C2533">
            <v>12</v>
          </cell>
          <cell r="E2533" t="str">
            <v>DAL</v>
          </cell>
          <cell r="I2533">
            <v>16</v>
          </cell>
          <cell r="J2533">
            <v>41</v>
          </cell>
          <cell r="L2533">
            <v>0</v>
          </cell>
        </row>
        <row r="2534">
          <cell r="B2534">
            <v>2020</v>
          </cell>
          <cell r="C2534">
            <v>13</v>
          </cell>
          <cell r="E2534" t="str">
            <v>DAL</v>
          </cell>
          <cell r="I2534">
            <v>17</v>
          </cell>
          <cell r="J2534">
            <v>34</v>
          </cell>
          <cell r="L2534">
            <v>0</v>
          </cell>
        </row>
        <row r="2535">
          <cell r="B2535">
            <v>2020</v>
          </cell>
          <cell r="C2535">
            <v>14</v>
          </cell>
          <cell r="E2535" t="str">
            <v>DAL</v>
          </cell>
          <cell r="I2535">
            <v>30</v>
          </cell>
          <cell r="J2535">
            <v>7</v>
          </cell>
          <cell r="L2535">
            <v>0</v>
          </cell>
        </row>
        <row r="2536">
          <cell r="B2536">
            <v>2020</v>
          </cell>
          <cell r="C2536">
            <v>15</v>
          </cell>
          <cell r="E2536" t="str">
            <v>DAL</v>
          </cell>
          <cell r="I2536">
            <v>41</v>
          </cell>
          <cell r="J2536">
            <v>33</v>
          </cell>
          <cell r="L2536">
            <v>0</v>
          </cell>
        </row>
        <row r="2537">
          <cell r="B2537">
            <v>2020</v>
          </cell>
          <cell r="C2537">
            <v>16</v>
          </cell>
          <cell r="E2537" t="str">
            <v>DAL</v>
          </cell>
          <cell r="I2537">
            <v>37</v>
          </cell>
          <cell r="J2537">
            <v>17</v>
          </cell>
          <cell r="L2537">
            <v>0</v>
          </cell>
        </row>
        <row r="2538">
          <cell r="B2538">
            <v>2020</v>
          </cell>
          <cell r="C2538">
            <v>17</v>
          </cell>
          <cell r="E2538" t="str">
            <v>DAL</v>
          </cell>
          <cell r="I2538">
            <v>19</v>
          </cell>
          <cell r="J2538">
            <v>23</v>
          </cell>
          <cell r="L2538">
            <v>0</v>
          </cell>
        </row>
        <row r="2539">
          <cell r="B2539">
            <v>2021</v>
          </cell>
          <cell r="C2539">
            <v>1</v>
          </cell>
          <cell r="E2539" t="str">
            <v>DAL</v>
          </cell>
          <cell r="I2539">
            <v>29</v>
          </cell>
          <cell r="J2539">
            <v>31</v>
          </cell>
          <cell r="L2539">
            <v>0</v>
          </cell>
        </row>
        <row r="2540">
          <cell r="B2540">
            <v>2021</v>
          </cell>
          <cell r="C2540">
            <v>2</v>
          </cell>
          <cell r="E2540" t="str">
            <v>DAL</v>
          </cell>
          <cell r="I2540">
            <v>20</v>
          </cell>
          <cell r="J2540">
            <v>17</v>
          </cell>
          <cell r="L2540">
            <v>0</v>
          </cell>
        </row>
        <row r="2541">
          <cell r="B2541">
            <v>2021</v>
          </cell>
          <cell r="C2541">
            <v>3</v>
          </cell>
          <cell r="E2541" t="str">
            <v>DAL</v>
          </cell>
          <cell r="I2541">
            <v>41</v>
          </cell>
          <cell r="J2541">
            <v>21</v>
          </cell>
          <cell r="L2541">
            <v>0</v>
          </cell>
        </row>
        <row r="2542">
          <cell r="B2542">
            <v>2021</v>
          </cell>
          <cell r="C2542">
            <v>4</v>
          </cell>
          <cell r="E2542" t="str">
            <v>DAL</v>
          </cell>
          <cell r="I2542">
            <v>36</v>
          </cell>
          <cell r="J2542">
            <v>28</v>
          </cell>
          <cell r="L2542">
            <v>0</v>
          </cell>
        </row>
        <row r="2543">
          <cell r="B2543">
            <v>2021</v>
          </cell>
          <cell r="C2543">
            <v>5</v>
          </cell>
          <cell r="E2543" t="str">
            <v>DAL</v>
          </cell>
          <cell r="I2543">
            <v>44</v>
          </cell>
          <cell r="J2543">
            <v>20</v>
          </cell>
          <cell r="L2543">
            <v>0</v>
          </cell>
        </row>
        <row r="2544">
          <cell r="B2544">
            <v>2021</v>
          </cell>
          <cell r="C2544">
            <v>6</v>
          </cell>
          <cell r="E2544" t="str">
            <v>DAL</v>
          </cell>
          <cell r="I2544">
            <v>35</v>
          </cell>
          <cell r="J2544">
            <v>29</v>
          </cell>
          <cell r="L2544">
            <v>0</v>
          </cell>
        </row>
        <row r="2545">
          <cell r="B2545">
            <v>2021</v>
          </cell>
          <cell r="C2545">
            <v>8</v>
          </cell>
          <cell r="E2545" t="str">
            <v>DAL</v>
          </cell>
          <cell r="I2545">
            <v>20</v>
          </cell>
          <cell r="J2545">
            <v>16</v>
          </cell>
          <cell r="L2545">
            <v>0</v>
          </cell>
        </row>
        <row r="2546">
          <cell r="B2546">
            <v>2021</v>
          </cell>
          <cell r="C2546">
            <v>9</v>
          </cell>
          <cell r="E2546" t="str">
            <v>DAL</v>
          </cell>
          <cell r="I2546">
            <v>16</v>
          </cell>
          <cell r="J2546">
            <v>30</v>
          </cell>
          <cell r="L2546">
            <v>0</v>
          </cell>
        </row>
        <row r="2547">
          <cell r="B2547">
            <v>2021</v>
          </cell>
          <cell r="C2547">
            <v>10</v>
          </cell>
          <cell r="E2547" t="str">
            <v>DAL</v>
          </cell>
          <cell r="I2547">
            <v>43</v>
          </cell>
          <cell r="J2547">
            <v>3</v>
          </cell>
          <cell r="L2547">
            <v>0</v>
          </cell>
        </row>
        <row r="2548">
          <cell r="B2548">
            <v>2021</v>
          </cell>
          <cell r="C2548">
            <v>11</v>
          </cell>
          <cell r="E2548" t="str">
            <v>DAL</v>
          </cell>
          <cell r="I2548">
            <v>9</v>
          </cell>
          <cell r="J2548">
            <v>19</v>
          </cell>
          <cell r="L2548">
            <v>0</v>
          </cell>
        </row>
        <row r="2549">
          <cell r="B2549">
            <v>2021</v>
          </cell>
          <cell r="C2549">
            <v>12</v>
          </cell>
          <cell r="E2549" t="str">
            <v>DAL</v>
          </cell>
          <cell r="I2549">
            <v>33</v>
          </cell>
          <cell r="J2549">
            <v>36</v>
          </cell>
          <cell r="L2549">
            <v>0</v>
          </cell>
        </row>
        <row r="2550">
          <cell r="B2550">
            <v>2021</v>
          </cell>
          <cell r="C2550">
            <v>13</v>
          </cell>
          <cell r="E2550" t="str">
            <v>DAL</v>
          </cell>
          <cell r="I2550">
            <v>27</v>
          </cell>
          <cell r="J2550">
            <v>17</v>
          </cell>
          <cell r="L2550">
            <v>0</v>
          </cell>
        </row>
        <row r="2551">
          <cell r="B2551">
            <v>2021</v>
          </cell>
          <cell r="C2551">
            <v>14</v>
          </cell>
          <cell r="E2551" t="str">
            <v>DAL</v>
          </cell>
          <cell r="I2551">
            <v>27</v>
          </cell>
          <cell r="J2551">
            <v>20</v>
          </cell>
          <cell r="L2551">
            <v>0</v>
          </cell>
        </row>
        <row r="2552">
          <cell r="B2552">
            <v>2021</v>
          </cell>
          <cell r="C2552">
            <v>15</v>
          </cell>
          <cell r="E2552" t="str">
            <v>DAL</v>
          </cell>
          <cell r="I2552">
            <v>21</v>
          </cell>
          <cell r="J2552">
            <v>6</v>
          </cell>
          <cell r="L2552">
            <v>0</v>
          </cell>
        </row>
        <row r="2553">
          <cell r="B2553">
            <v>2021</v>
          </cell>
          <cell r="C2553">
            <v>16</v>
          </cell>
          <cell r="E2553" t="str">
            <v>DAL</v>
          </cell>
          <cell r="I2553">
            <v>56</v>
          </cell>
          <cell r="J2553">
            <v>14</v>
          </cell>
          <cell r="L2553">
            <v>0</v>
          </cell>
        </row>
        <row r="2554">
          <cell r="B2554">
            <v>2021</v>
          </cell>
          <cell r="C2554">
            <v>17</v>
          </cell>
          <cell r="E2554" t="str">
            <v>DAL</v>
          </cell>
          <cell r="I2554">
            <v>22</v>
          </cell>
          <cell r="J2554">
            <v>25</v>
          </cell>
          <cell r="L2554">
            <v>0</v>
          </cell>
        </row>
        <row r="2555">
          <cell r="B2555">
            <v>2021</v>
          </cell>
          <cell r="C2555">
            <v>18</v>
          </cell>
          <cell r="E2555" t="str">
            <v>DAL</v>
          </cell>
          <cell r="I2555">
            <v>51</v>
          </cell>
          <cell r="J2555">
            <v>26</v>
          </cell>
          <cell r="L2555">
            <v>0</v>
          </cell>
        </row>
        <row r="2556">
          <cell r="B2556">
            <v>2021</v>
          </cell>
          <cell r="C2556">
            <v>1</v>
          </cell>
          <cell r="E2556" t="str">
            <v>DAL</v>
          </cell>
          <cell r="I2556">
            <v>17</v>
          </cell>
          <cell r="J2556">
            <v>23</v>
          </cell>
          <cell r="L2556">
            <v>1</v>
          </cell>
        </row>
        <row r="2557">
          <cell r="B2557">
            <v>2022</v>
          </cell>
          <cell r="C2557">
            <v>1</v>
          </cell>
          <cell r="E2557" t="str">
            <v>DAL</v>
          </cell>
          <cell r="I2557">
            <v>3</v>
          </cell>
          <cell r="J2557">
            <v>19</v>
          </cell>
          <cell r="L2557">
            <v>0</v>
          </cell>
        </row>
        <row r="2558">
          <cell r="B2558">
            <v>2022</v>
          </cell>
          <cell r="C2558">
            <v>2</v>
          </cell>
          <cell r="E2558" t="str">
            <v>DAL</v>
          </cell>
          <cell r="I2558">
            <v>20</v>
          </cell>
          <cell r="J2558">
            <v>17</v>
          </cell>
          <cell r="L2558">
            <v>0</v>
          </cell>
        </row>
        <row r="2559">
          <cell r="B2559">
            <v>2022</v>
          </cell>
          <cell r="C2559">
            <v>3</v>
          </cell>
          <cell r="E2559" t="str">
            <v>DAL</v>
          </cell>
          <cell r="I2559">
            <v>23</v>
          </cell>
          <cell r="J2559">
            <v>16</v>
          </cell>
          <cell r="L2559">
            <v>0</v>
          </cell>
        </row>
        <row r="2560">
          <cell r="B2560">
            <v>2022</v>
          </cell>
          <cell r="C2560">
            <v>4</v>
          </cell>
          <cell r="E2560" t="str">
            <v>DAL</v>
          </cell>
          <cell r="I2560">
            <v>25</v>
          </cell>
          <cell r="J2560">
            <v>10</v>
          </cell>
          <cell r="L2560">
            <v>0</v>
          </cell>
        </row>
        <row r="2561">
          <cell r="B2561">
            <v>2022</v>
          </cell>
          <cell r="C2561">
            <v>5</v>
          </cell>
          <cell r="E2561" t="str">
            <v>DAL</v>
          </cell>
          <cell r="I2561">
            <v>22</v>
          </cell>
          <cell r="J2561">
            <v>10</v>
          </cell>
          <cell r="L2561">
            <v>0</v>
          </cell>
        </row>
        <row r="2562">
          <cell r="B2562">
            <v>2022</v>
          </cell>
          <cell r="C2562">
            <v>6</v>
          </cell>
          <cell r="E2562" t="str">
            <v>DAL</v>
          </cell>
          <cell r="I2562">
            <v>17</v>
          </cell>
          <cell r="J2562">
            <v>26</v>
          </cell>
          <cell r="L2562">
            <v>0</v>
          </cell>
        </row>
        <row r="2563">
          <cell r="B2563">
            <v>2022</v>
          </cell>
          <cell r="C2563">
            <v>7</v>
          </cell>
          <cell r="E2563" t="str">
            <v>DAL</v>
          </cell>
          <cell r="I2563">
            <v>24</v>
          </cell>
          <cell r="J2563">
            <v>6</v>
          </cell>
          <cell r="L2563">
            <v>0</v>
          </cell>
        </row>
        <row r="2564">
          <cell r="B2564">
            <v>2022</v>
          </cell>
          <cell r="C2564">
            <v>8</v>
          </cell>
          <cell r="E2564" t="str">
            <v>DAL</v>
          </cell>
          <cell r="I2564">
            <v>49</v>
          </cell>
          <cell r="J2564">
            <v>29</v>
          </cell>
          <cell r="L2564">
            <v>0</v>
          </cell>
        </row>
        <row r="2565">
          <cell r="B2565">
            <v>2022</v>
          </cell>
          <cell r="C2565">
            <v>10</v>
          </cell>
          <cell r="E2565" t="str">
            <v>DAL</v>
          </cell>
          <cell r="I2565">
            <v>28</v>
          </cell>
          <cell r="J2565">
            <v>31</v>
          </cell>
          <cell r="L2565">
            <v>0</v>
          </cell>
        </row>
        <row r="2566">
          <cell r="B2566">
            <v>2022</v>
          </cell>
          <cell r="C2566">
            <v>11</v>
          </cell>
          <cell r="E2566" t="str">
            <v>DAL</v>
          </cell>
          <cell r="I2566">
            <v>40</v>
          </cell>
          <cell r="J2566">
            <v>3</v>
          </cell>
          <cell r="L2566">
            <v>0</v>
          </cell>
        </row>
        <row r="2567">
          <cell r="B2567">
            <v>2022</v>
          </cell>
          <cell r="C2567">
            <v>12</v>
          </cell>
          <cell r="E2567" t="str">
            <v>DAL</v>
          </cell>
          <cell r="I2567">
            <v>28</v>
          </cell>
          <cell r="J2567">
            <v>20</v>
          </cell>
          <cell r="L2567">
            <v>0</v>
          </cell>
        </row>
        <row r="2568">
          <cell r="B2568">
            <v>2022</v>
          </cell>
          <cell r="C2568">
            <v>13</v>
          </cell>
          <cell r="E2568" t="str">
            <v>DAL</v>
          </cell>
          <cell r="I2568">
            <v>54</v>
          </cell>
          <cell r="J2568">
            <v>19</v>
          </cell>
          <cell r="L2568">
            <v>0</v>
          </cell>
        </row>
        <row r="2569">
          <cell r="B2569">
            <v>2022</v>
          </cell>
          <cell r="C2569">
            <v>14</v>
          </cell>
          <cell r="E2569" t="str">
            <v>DAL</v>
          </cell>
          <cell r="I2569">
            <v>27</v>
          </cell>
          <cell r="J2569">
            <v>23</v>
          </cell>
          <cell r="L2569">
            <v>0</v>
          </cell>
        </row>
        <row r="2570">
          <cell r="B2570">
            <v>2022</v>
          </cell>
          <cell r="C2570">
            <v>15</v>
          </cell>
          <cell r="E2570" t="str">
            <v>DAL</v>
          </cell>
          <cell r="I2570">
            <v>34</v>
          </cell>
          <cell r="J2570">
            <v>40</v>
          </cell>
          <cell r="L2570">
            <v>0</v>
          </cell>
        </row>
        <row r="2571">
          <cell r="B2571">
            <v>2022</v>
          </cell>
          <cell r="C2571">
            <v>16</v>
          </cell>
          <cell r="E2571" t="str">
            <v>DAL</v>
          </cell>
          <cell r="I2571">
            <v>40</v>
          </cell>
          <cell r="J2571">
            <v>34</v>
          </cell>
          <cell r="L2571">
            <v>0</v>
          </cell>
        </row>
        <row r="2572">
          <cell r="B2572">
            <v>2022</v>
          </cell>
          <cell r="C2572">
            <v>17</v>
          </cell>
          <cell r="E2572" t="str">
            <v>DAL</v>
          </cell>
          <cell r="I2572">
            <v>27</v>
          </cell>
          <cell r="J2572">
            <v>13</v>
          </cell>
          <cell r="L2572">
            <v>0</v>
          </cell>
        </row>
        <row r="2573">
          <cell r="B2573">
            <v>2022</v>
          </cell>
          <cell r="C2573">
            <v>18</v>
          </cell>
          <cell r="E2573" t="str">
            <v>DAL</v>
          </cell>
          <cell r="I2573">
            <v>6</v>
          </cell>
          <cell r="J2573">
            <v>26</v>
          </cell>
          <cell r="L2573">
            <v>0</v>
          </cell>
        </row>
        <row r="2574">
          <cell r="B2574">
            <v>2022</v>
          </cell>
          <cell r="C2574">
            <v>1</v>
          </cell>
          <cell r="E2574" t="str">
            <v>DAL</v>
          </cell>
          <cell r="I2574">
            <v>31</v>
          </cell>
          <cell r="J2574">
            <v>14</v>
          </cell>
          <cell r="L2574">
            <v>1</v>
          </cell>
        </row>
        <row r="2575">
          <cell r="B2575">
            <v>2022</v>
          </cell>
          <cell r="C2575">
            <v>2</v>
          </cell>
          <cell r="E2575" t="str">
            <v>DAL</v>
          </cell>
          <cell r="I2575">
            <v>12</v>
          </cell>
          <cell r="J2575">
            <v>19</v>
          </cell>
          <cell r="L2575">
            <v>1</v>
          </cell>
        </row>
        <row r="2576">
          <cell r="B2576">
            <v>2023</v>
          </cell>
          <cell r="C2576">
            <v>1</v>
          </cell>
          <cell r="E2576" t="str">
            <v>DAL</v>
          </cell>
          <cell r="I2576">
            <v>40</v>
          </cell>
          <cell r="J2576">
            <v>0</v>
          </cell>
          <cell r="L2576">
            <v>0</v>
          </cell>
        </row>
        <row r="2577">
          <cell r="B2577">
            <v>2023</v>
          </cell>
          <cell r="C2577">
            <v>2</v>
          </cell>
          <cell r="E2577" t="str">
            <v>DAL</v>
          </cell>
          <cell r="I2577">
            <v>30</v>
          </cell>
          <cell r="J2577">
            <v>10</v>
          </cell>
          <cell r="L2577">
            <v>0</v>
          </cell>
        </row>
        <row r="2578">
          <cell r="B2578">
            <v>2023</v>
          </cell>
          <cell r="C2578">
            <v>3</v>
          </cell>
          <cell r="E2578" t="str">
            <v>DAL</v>
          </cell>
          <cell r="I2578">
            <v>16</v>
          </cell>
          <cell r="J2578">
            <v>28</v>
          </cell>
          <cell r="L2578">
            <v>0</v>
          </cell>
        </row>
        <row r="2579">
          <cell r="B2579">
            <v>2023</v>
          </cell>
          <cell r="C2579">
            <v>4</v>
          </cell>
          <cell r="E2579" t="str">
            <v>DAL</v>
          </cell>
          <cell r="I2579">
            <v>38</v>
          </cell>
          <cell r="J2579">
            <v>3</v>
          </cell>
          <cell r="L2579">
            <v>0</v>
          </cell>
        </row>
        <row r="2580">
          <cell r="B2580">
            <v>2023</v>
          </cell>
          <cell r="C2580">
            <v>5</v>
          </cell>
          <cell r="E2580" t="str">
            <v>DAL</v>
          </cell>
          <cell r="I2580">
            <v>10</v>
          </cell>
          <cell r="J2580">
            <v>42</v>
          </cell>
          <cell r="L2580">
            <v>0</v>
          </cell>
        </row>
        <row r="2581">
          <cell r="B2581">
            <v>2023</v>
          </cell>
          <cell r="C2581">
            <v>6</v>
          </cell>
          <cell r="E2581" t="str">
            <v>DAL</v>
          </cell>
          <cell r="I2581">
            <v>20</v>
          </cell>
          <cell r="J2581">
            <v>17</v>
          </cell>
          <cell r="L2581">
            <v>0</v>
          </cell>
        </row>
        <row r="2582">
          <cell r="B2582">
            <v>2023</v>
          </cell>
          <cell r="C2582">
            <v>8</v>
          </cell>
          <cell r="E2582" t="str">
            <v>DAL</v>
          </cell>
          <cell r="I2582">
            <v>43</v>
          </cell>
          <cell r="J2582">
            <v>20</v>
          </cell>
          <cell r="L2582">
            <v>0</v>
          </cell>
        </row>
        <row r="2583">
          <cell r="B2583">
            <v>2023</v>
          </cell>
          <cell r="C2583">
            <v>9</v>
          </cell>
          <cell r="E2583" t="str">
            <v>DAL</v>
          </cell>
          <cell r="I2583">
            <v>23</v>
          </cell>
          <cell r="J2583">
            <v>28</v>
          </cell>
          <cell r="L2583">
            <v>0</v>
          </cell>
        </row>
        <row r="2584">
          <cell r="B2584">
            <v>2023</v>
          </cell>
          <cell r="C2584">
            <v>10</v>
          </cell>
          <cell r="E2584" t="str">
            <v>DAL</v>
          </cell>
          <cell r="I2584">
            <v>49</v>
          </cell>
          <cell r="J2584">
            <v>17</v>
          </cell>
          <cell r="L2584">
            <v>0</v>
          </cell>
        </row>
        <row r="2585">
          <cell r="B2585">
            <v>2023</v>
          </cell>
          <cell r="C2585">
            <v>11</v>
          </cell>
          <cell r="E2585" t="str">
            <v>DAL</v>
          </cell>
          <cell r="I2585">
            <v>33</v>
          </cell>
          <cell r="J2585">
            <v>10</v>
          </cell>
          <cell r="L2585">
            <v>0</v>
          </cell>
        </row>
        <row r="2586">
          <cell r="B2586">
            <v>2023</v>
          </cell>
          <cell r="C2586">
            <v>12</v>
          </cell>
          <cell r="E2586" t="str">
            <v>DAL</v>
          </cell>
          <cell r="I2586">
            <v>45</v>
          </cell>
          <cell r="J2586">
            <v>10</v>
          </cell>
          <cell r="L2586">
            <v>0</v>
          </cell>
        </row>
        <row r="2587">
          <cell r="B2587">
            <v>2023</v>
          </cell>
          <cell r="C2587">
            <v>13</v>
          </cell>
          <cell r="E2587" t="str">
            <v>DAL</v>
          </cell>
          <cell r="I2587">
            <v>41</v>
          </cell>
          <cell r="J2587">
            <v>35</v>
          </cell>
          <cell r="L2587">
            <v>0</v>
          </cell>
        </row>
        <row r="2588">
          <cell r="B2588">
            <v>2023</v>
          </cell>
          <cell r="C2588">
            <v>14</v>
          </cell>
          <cell r="E2588" t="str">
            <v>DAL</v>
          </cell>
          <cell r="I2588">
            <v>33</v>
          </cell>
          <cell r="J2588">
            <v>13</v>
          </cell>
          <cell r="L2588">
            <v>0</v>
          </cell>
        </row>
        <row r="2589">
          <cell r="B2589">
            <v>2023</v>
          </cell>
          <cell r="C2589">
            <v>15</v>
          </cell>
          <cell r="E2589" t="str">
            <v>DAL</v>
          </cell>
          <cell r="I2589">
            <v>10</v>
          </cell>
          <cell r="J2589">
            <v>31</v>
          </cell>
          <cell r="L2589">
            <v>0</v>
          </cell>
        </row>
        <row r="2590">
          <cell r="B2590">
            <v>2023</v>
          </cell>
          <cell r="C2590">
            <v>16</v>
          </cell>
          <cell r="E2590" t="str">
            <v>DAL</v>
          </cell>
          <cell r="I2590">
            <v>20</v>
          </cell>
          <cell r="J2590">
            <v>22</v>
          </cell>
          <cell r="L2590">
            <v>0</v>
          </cell>
        </row>
        <row r="2591">
          <cell r="B2591">
            <v>2023</v>
          </cell>
          <cell r="C2591">
            <v>17</v>
          </cell>
          <cell r="E2591" t="str">
            <v>DAL</v>
          </cell>
          <cell r="I2591">
            <v>20</v>
          </cell>
          <cell r="J2591">
            <v>19</v>
          </cell>
          <cell r="L2591">
            <v>0</v>
          </cell>
        </row>
        <row r="2592">
          <cell r="B2592">
            <v>2023</v>
          </cell>
          <cell r="C2592">
            <v>18</v>
          </cell>
          <cell r="E2592" t="str">
            <v>DAL</v>
          </cell>
          <cell r="I2592">
            <v>38</v>
          </cell>
          <cell r="J2592">
            <v>10</v>
          </cell>
          <cell r="L2592">
            <v>0</v>
          </cell>
        </row>
        <row r="2593">
          <cell r="B2593">
            <v>2023</v>
          </cell>
          <cell r="C2593">
            <v>1</v>
          </cell>
          <cell r="E2593" t="str">
            <v>DAL</v>
          </cell>
          <cell r="I2593">
            <v>32</v>
          </cell>
          <cell r="J2593">
            <v>48</v>
          </cell>
          <cell r="L2593">
            <v>1</v>
          </cell>
        </row>
        <row r="2594">
          <cell r="B2594">
            <v>2024</v>
          </cell>
          <cell r="C2594">
            <v>1</v>
          </cell>
          <cell r="E2594" t="str">
            <v>DAL</v>
          </cell>
          <cell r="I2594">
            <v>33</v>
          </cell>
          <cell r="J2594">
            <v>17</v>
          </cell>
          <cell r="L2594">
            <v>0</v>
          </cell>
        </row>
        <row r="2595">
          <cell r="B2595">
            <v>2024</v>
          </cell>
          <cell r="C2595">
            <v>2</v>
          </cell>
          <cell r="E2595" t="str">
            <v>DAL</v>
          </cell>
          <cell r="I2595">
            <v>19</v>
          </cell>
          <cell r="J2595">
            <v>44</v>
          </cell>
          <cell r="L2595">
            <v>0</v>
          </cell>
        </row>
        <row r="2596">
          <cell r="B2596">
            <v>2024</v>
          </cell>
          <cell r="C2596">
            <v>3</v>
          </cell>
          <cell r="E2596" t="str">
            <v>DAL</v>
          </cell>
          <cell r="I2596">
            <v>25</v>
          </cell>
          <cell r="J2596">
            <v>28</v>
          </cell>
          <cell r="L2596">
            <v>0</v>
          </cell>
        </row>
        <row r="2597">
          <cell r="B2597">
            <v>2024</v>
          </cell>
          <cell r="C2597">
            <v>4</v>
          </cell>
          <cell r="E2597" t="str">
            <v>DAL</v>
          </cell>
          <cell r="I2597">
            <v>20</v>
          </cell>
          <cell r="J2597">
            <v>15</v>
          </cell>
          <cell r="L2597">
            <v>0</v>
          </cell>
        </row>
        <row r="2598">
          <cell r="B2598">
            <v>2024</v>
          </cell>
          <cell r="C2598">
            <v>5</v>
          </cell>
          <cell r="E2598" t="str">
            <v>DAL</v>
          </cell>
          <cell r="I2598">
            <v>20</v>
          </cell>
          <cell r="J2598">
            <v>17</v>
          </cell>
          <cell r="L2598">
            <v>0</v>
          </cell>
        </row>
        <row r="2599">
          <cell r="B2599">
            <v>2024</v>
          </cell>
          <cell r="C2599">
            <v>6</v>
          </cell>
          <cell r="E2599" t="str">
            <v>DAL</v>
          </cell>
          <cell r="I2599">
            <v>9</v>
          </cell>
          <cell r="J2599">
            <v>47</v>
          </cell>
          <cell r="L2599">
            <v>0</v>
          </cell>
        </row>
        <row r="2600">
          <cell r="B2600">
            <v>2024</v>
          </cell>
          <cell r="C2600">
            <v>8</v>
          </cell>
          <cell r="E2600" t="str">
            <v>DAL</v>
          </cell>
          <cell r="I2600">
            <v>24</v>
          </cell>
          <cell r="J2600">
            <v>30</v>
          </cell>
          <cell r="L2600">
            <v>0</v>
          </cell>
        </row>
        <row r="2601">
          <cell r="B2601">
            <v>2024</v>
          </cell>
          <cell r="C2601">
            <v>9</v>
          </cell>
          <cell r="E2601" t="str">
            <v>DAL</v>
          </cell>
          <cell r="I2601">
            <v>21</v>
          </cell>
          <cell r="J2601">
            <v>27</v>
          </cell>
          <cell r="L2601">
            <v>0</v>
          </cell>
        </row>
        <row r="2602">
          <cell r="B2602">
            <v>2024</v>
          </cell>
          <cell r="C2602">
            <v>10</v>
          </cell>
          <cell r="E2602" t="str">
            <v>DAL</v>
          </cell>
          <cell r="I2602">
            <v>6</v>
          </cell>
          <cell r="J2602">
            <v>34</v>
          </cell>
          <cell r="L2602">
            <v>0</v>
          </cell>
        </row>
        <row r="2603">
          <cell r="B2603">
            <v>2024</v>
          </cell>
          <cell r="C2603">
            <v>11</v>
          </cell>
          <cell r="E2603" t="str">
            <v>DAL</v>
          </cell>
          <cell r="I2603">
            <v>10</v>
          </cell>
          <cell r="J2603">
            <v>34</v>
          </cell>
          <cell r="L2603">
            <v>0</v>
          </cell>
        </row>
        <row r="2604">
          <cell r="B2604">
            <v>2024</v>
          </cell>
          <cell r="C2604">
            <v>12</v>
          </cell>
          <cell r="E2604" t="str">
            <v>DAL</v>
          </cell>
          <cell r="I2604">
            <v>34</v>
          </cell>
          <cell r="J2604">
            <v>26</v>
          </cell>
          <cell r="L2604">
            <v>0</v>
          </cell>
        </row>
        <row r="2605">
          <cell r="B2605">
            <v>2024</v>
          </cell>
          <cell r="C2605">
            <v>13</v>
          </cell>
          <cell r="E2605" t="str">
            <v>DAL</v>
          </cell>
          <cell r="I2605">
            <v>27</v>
          </cell>
          <cell r="J2605">
            <v>20</v>
          </cell>
          <cell r="L2605">
            <v>0</v>
          </cell>
        </row>
        <row r="2606">
          <cell r="B2606">
            <v>2024</v>
          </cell>
          <cell r="C2606">
            <v>14</v>
          </cell>
          <cell r="E2606" t="str">
            <v>DAL</v>
          </cell>
          <cell r="I2606">
            <v>20</v>
          </cell>
          <cell r="J2606">
            <v>27</v>
          </cell>
          <cell r="L2606">
            <v>0</v>
          </cell>
        </row>
        <row r="2607">
          <cell r="B2607">
            <v>2024</v>
          </cell>
          <cell r="C2607">
            <v>15</v>
          </cell>
          <cell r="E2607" t="str">
            <v>DAL</v>
          </cell>
          <cell r="I2607">
            <v>30</v>
          </cell>
          <cell r="J2607">
            <v>14</v>
          </cell>
          <cell r="L2607">
            <v>0</v>
          </cell>
        </row>
        <row r="2608">
          <cell r="B2608">
            <v>2024</v>
          </cell>
          <cell r="C2608">
            <v>16</v>
          </cell>
          <cell r="E2608" t="str">
            <v>DAL</v>
          </cell>
          <cell r="I2608">
            <v>26</v>
          </cell>
          <cell r="J2608">
            <v>24</v>
          </cell>
          <cell r="L2608">
            <v>0</v>
          </cell>
        </row>
        <row r="2609">
          <cell r="B2609">
            <v>2024</v>
          </cell>
          <cell r="C2609">
            <v>17</v>
          </cell>
          <cell r="E2609" t="str">
            <v>DAL</v>
          </cell>
          <cell r="I2609">
            <v>7</v>
          </cell>
          <cell r="J2609">
            <v>41</v>
          </cell>
          <cell r="L2609">
            <v>0</v>
          </cell>
        </row>
        <row r="2610">
          <cell r="B2610">
            <v>2024</v>
          </cell>
          <cell r="C2610">
            <v>18</v>
          </cell>
          <cell r="E2610" t="str">
            <v>DAL</v>
          </cell>
          <cell r="I2610">
            <v>19</v>
          </cell>
          <cell r="J2610">
            <v>23</v>
          </cell>
          <cell r="L2610">
            <v>0</v>
          </cell>
        </row>
        <row r="2611">
          <cell r="B2611">
            <v>2025</v>
          </cell>
          <cell r="C2611">
            <v>1</v>
          </cell>
          <cell r="E2611" t="str">
            <v>DAL</v>
          </cell>
          <cell r="I2611">
            <v>20</v>
          </cell>
          <cell r="J2611">
            <v>24</v>
          </cell>
          <cell r="L2611">
            <v>0</v>
          </cell>
        </row>
        <row r="2612">
          <cell r="B2612">
            <v>2025</v>
          </cell>
          <cell r="C2612">
            <v>2</v>
          </cell>
          <cell r="E2612" t="str">
            <v>DAL</v>
          </cell>
          <cell r="I2612">
            <v>40</v>
          </cell>
          <cell r="J2612">
            <v>37</v>
          </cell>
          <cell r="L2612">
            <v>0</v>
          </cell>
        </row>
        <row r="2613">
          <cell r="B2613">
            <v>2025</v>
          </cell>
          <cell r="C2613">
            <v>3</v>
          </cell>
          <cell r="E2613" t="str">
            <v>DAL</v>
          </cell>
          <cell r="I2613">
            <v>14</v>
          </cell>
          <cell r="J2613">
            <v>31</v>
          </cell>
          <cell r="L2613">
            <v>0</v>
          </cell>
        </row>
        <row r="2614">
          <cell r="B2614">
            <v>2025</v>
          </cell>
          <cell r="C2614">
            <v>4</v>
          </cell>
          <cell r="E2614" t="str">
            <v>DAL</v>
          </cell>
          <cell r="I2614">
            <v>40</v>
          </cell>
          <cell r="J2614">
            <v>40</v>
          </cell>
          <cell r="L2614">
            <v>0</v>
          </cell>
        </row>
        <row r="2615">
          <cell r="B2615">
            <v>2025</v>
          </cell>
          <cell r="C2615">
            <v>5</v>
          </cell>
          <cell r="E2615" t="str">
            <v>DAL</v>
          </cell>
          <cell r="I2615">
            <v>37</v>
          </cell>
          <cell r="J2615">
            <v>22</v>
          </cell>
          <cell r="L2615">
            <v>0</v>
          </cell>
        </row>
        <row r="2616">
          <cell r="B2616">
            <v>2025</v>
          </cell>
          <cell r="C2616">
            <v>6</v>
          </cell>
          <cell r="E2616" t="str">
            <v>DAL</v>
          </cell>
          <cell r="I2616">
            <v>27</v>
          </cell>
          <cell r="J2616">
            <v>30</v>
          </cell>
          <cell r="L2616">
            <v>0</v>
          </cell>
        </row>
        <row r="2617">
          <cell r="B2617">
            <v>2025</v>
          </cell>
          <cell r="C2617">
            <v>7</v>
          </cell>
          <cell r="E2617" t="str">
            <v>DAL</v>
          </cell>
          <cell r="I2617">
            <v>44</v>
          </cell>
          <cell r="J2617">
            <v>22</v>
          </cell>
          <cell r="L2617">
            <v>0</v>
          </cell>
        </row>
        <row r="2618">
          <cell r="B2618">
            <v>2025</v>
          </cell>
          <cell r="C2618">
            <v>8</v>
          </cell>
          <cell r="E2618" t="str">
            <v>DAL</v>
          </cell>
          <cell r="I2618">
            <v>24</v>
          </cell>
          <cell r="J2618">
            <v>44</v>
          </cell>
          <cell r="L2618">
            <v>0</v>
          </cell>
        </row>
        <row r="2619">
          <cell r="B2619">
            <v>2025</v>
          </cell>
          <cell r="C2619">
            <v>9</v>
          </cell>
          <cell r="E2619" t="str">
            <v>DAL</v>
          </cell>
          <cell r="I2619">
            <v>17</v>
          </cell>
          <cell r="J2619">
            <v>27</v>
          </cell>
          <cell r="L2619">
            <v>0</v>
          </cell>
        </row>
        <row r="2620">
          <cell r="B2620">
            <v>2025</v>
          </cell>
          <cell r="C2620">
            <v>11</v>
          </cell>
          <cell r="E2620" t="str">
            <v>DAL</v>
          </cell>
          <cell r="I2620">
            <v>33</v>
          </cell>
          <cell r="J2620">
            <v>16</v>
          </cell>
          <cell r="L2620">
            <v>0</v>
          </cell>
        </row>
        <row r="2621">
          <cell r="B2621">
            <v>2025</v>
          </cell>
          <cell r="C2621">
            <v>12</v>
          </cell>
          <cell r="E2621" t="str">
            <v>DAL</v>
          </cell>
          <cell r="I2621">
            <v>24</v>
          </cell>
          <cell r="J2621">
            <v>21</v>
          </cell>
          <cell r="L2621">
            <v>0</v>
          </cell>
        </row>
        <row r="2622">
          <cell r="B2622">
            <v>2025</v>
          </cell>
          <cell r="C2622">
            <v>13</v>
          </cell>
          <cell r="E2622" t="str">
            <v>DAL</v>
          </cell>
          <cell r="I2622">
            <v>31</v>
          </cell>
          <cell r="J2622">
            <v>28</v>
          </cell>
          <cell r="L2622">
            <v>0</v>
          </cell>
        </row>
        <row r="2623">
          <cell r="B2623">
            <v>2025</v>
          </cell>
          <cell r="C2623">
            <v>14</v>
          </cell>
          <cell r="E2623" t="str">
            <v>DAL</v>
          </cell>
          <cell r="I2623">
            <v>30</v>
          </cell>
          <cell r="J2623">
            <v>44</v>
          </cell>
          <cell r="L2623">
            <v>0</v>
          </cell>
        </row>
        <row r="2624">
          <cell r="B2624">
            <v>2025</v>
          </cell>
          <cell r="C2624">
            <v>15</v>
          </cell>
          <cell r="E2624" t="str">
            <v>DAL</v>
          </cell>
          <cell r="I2624">
            <v>26</v>
          </cell>
          <cell r="J2624">
            <v>34</v>
          </cell>
          <cell r="L2624">
            <v>0</v>
          </cell>
        </row>
        <row r="2625">
          <cell r="B2625">
            <v>2025</v>
          </cell>
          <cell r="C2625">
            <v>16</v>
          </cell>
          <cell r="E2625" t="str">
            <v>DAL</v>
          </cell>
          <cell r="I2625">
            <v>17</v>
          </cell>
          <cell r="J2625">
            <v>34</v>
          </cell>
          <cell r="L2625">
            <v>0</v>
          </cell>
        </row>
        <row r="2626">
          <cell r="B2626">
            <v>2025</v>
          </cell>
          <cell r="C2626">
            <v>17</v>
          </cell>
          <cell r="E2626" t="str">
            <v>DAL</v>
          </cell>
          <cell r="I2626">
            <v>30</v>
          </cell>
          <cell r="J2626">
            <v>23</v>
          </cell>
          <cell r="L2626">
            <v>0</v>
          </cell>
        </row>
        <row r="2627">
          <cell r="B2627">
            <v>2025</v>
          </cell>
          <cell r="C2627">
            <v>18</v>
          </cell>
          <cell r="E2627" t="str">
            <v>DAL</v>
          </cell>
          <cell r="I2627">
            <v>17</v>
          </cell>
          <cell r="J2627">
            <v>34</v>
          </cell>
          <cell r="L2627">
            <v>0</v>
          </cell>
        </row>
        <row r="2628">
          <cell r="B2628">
            <v>2026</v>
          </cell>
          <cell r="C2628">
            <v>1</v>
          </cell>
          <cell r="E2628" t="str">
            <v>DAL</v>
          </cell>
          <cell r="I2628">
            <v>20</v>
          </cell>
          <cell r="J2628">
            <v>28</v>
          </cell>
          <cell r="L2628">
            <v>0</v>
          </cell>
        </row>
        <row r="2629">
          <cell r="B2629">
            <v>2026</v>
          </cell>
          <cell r="C2629">
            <v>2</v>
          </cell>
          <cell r="E2629" t="str">
            <v>DAL</v>
          </cell>
          <cell r="I2629">
            <v>37</v>
          </cell>
          <cell r="J2629">
            <v>20</v>
          </cell>
          <cell r="L2629">
            <v>0</v>
          </cell>
        </row>
        <row r="2630">
          <cell r="B2630">
            <v>2026</v>
          </cell>
          <cell r="C2630">
            <v>3</v>
          </cell>
          <cell r="E2630" t="str">
            <v>DAL</v>
          </cell>
          <cell r="I2630">
            <v>31</v>
          </cell>
          <cell r="J2630">
            <v>34</v>
          </cell>
          <cell r="L2630">
            <v>0</v>
          </cell>
        </row>
        <row r="2631">
          <cell r="B2631">
            <v>2026</v>
          </cell>
          <cell r="C2631">
            <v>4</v>
          </cell>
          <cell r="E2631" t="str">
            <v>DAL</v>
          </cell>
          <cell r="I2631">
            <v>34</v>
          </cell>
          <cell r="J2631">
            <v>30</v>
          </cell>
          <cell r="L2631">
            <v>0</v>
          </cell>
        </row>
        <row r="2632">
          <cell r="B2632">
            <v>2026</v>
          </cell>
          <cell r="C2632">
            <v>5</v>
          </cell>
          <cell r="E2632" t="str">
            <v>DAL</v>
          </cell>
          <cell r="I2632">
            <v>16</v>
          </cell>
          <cell r="J2632">
            <v>24</v>
          </cell>
          <cell r="L2632">
            <v>0</v>
          </cell>
        </row>
        <row r="2633">
          <cell r="B2633">
            <v>2026</v>
          </cell>
          <cell r="C2633">
            <v>6</v>
          </cell>
          <cell r="E2633" t="str">
            <v>DAL</v>
          </cell>
          <cell r="I2633">
            <v>13</v>
          </cell>
          <cell r="J2633">
            <v>23</v>
          </cell>
          <cell r="L2633">
            <v>0</v>
          </cell>
        </row>
        <row r="2634">
          <cell r="B2634">
            <v>2026</v>
          </cell>
          <cell r="C2634">
            <v>7</v>
          </cell>
          <cell r="E2634" t="str">
            <v>DAL</v>
          </cell>
          <cell r="L2634">
            <v>0</v>
          </cell>
        </row>
        <row r="2635">
          <cell r="B2635">
            <v>2018</v>
          </cell>
          <cell r="C2635">
            <v>1</v>
          </cell>
          <cell r="E2635" t="str">
            <v>NYG</v>
          </cell>
          <cell r="I2635">
            <v>15</v>
          </cell>
          <cell r="J2635">
            <v>20</v>
          </cell>
          <cell r="L2635">
            <v>0</v>
          </cell>
        </row>
        <row r="2636">
          <cell r="B2636">
            <v>2018</v>
          </cell>
          <cell r="C2636">
            <v>2</v>
          </cell>
          <cell r="E2636" t="str">
            <v>NYG</v>
          </cell>
          <cell r="I2636">
            <v>13</v>
          </cell>
          <cell r="J2636">
            <v>20</v>
          </cell>
          <cell r="L2636">
            <v>0</v>
          </cell>
        </row>
        <row r="2637">
          <cell r="B2637">
            <v>2018</v>
          </cell>
          <cell r="C2637">
            <v>3</v>
          </cell>
          <cell r="E2637" t="str">
            <v>NYG</v>
          </cell>
          <cell r="I2637">
            <v>27</v>
          </cell>
          <cell r="J2637">
            <v>22</v>
          </cell>
          <cell r="L2637">
            <v>0</v>
          </cell>
        </row>
        <row r="2638">
          <cell r="B2638">
            <v>2018</v>
          </cell>
          <cell r="C2638">
            <v>4</v>
          </cell>
          <cell r="E2638" t="str">
            <v>NYG</v>
          </cell>
          <cell r="I2638">
            <v>18</v>
          </cell>
          <cell r="J2638">
            <v>33</v>
          </cell>
          <cell r="L2638">
            <v>0</v>
          </cell>
        </row>
        <row r="2639">
          <cell r="B2639">
            <v>2018</v>
          </cell>
          <cell r="C2639">
            <v>5</v>
          </cell>
          <cell r="E2639" t="str">
            <v>NYG</v>
          </cell>
          <cell r="I2639">
            <v>31</v>
          </cell>
          <cell r="J2639">
            <v>33</v>
          </cell>
          <cell r="L2639">
            <v>0</v>
          </cell>
        </row>
        <row r="2640">
          <cell r="B2640">
            <v>2018</v>
          </cell>
          <cell r="C2640">
            <v>6</v>
          </cell>
          <cell r="E2640" t="str">
            <v>NYG</v>
          </cell>
          <cell r="I2640">
            <v>13</v>
          </cell>
          <cell r="J2640">
            <v>34</v>
          </cell>
          <cell r="L2640">
            <v>0</v>
          </cell>
        </row>
        <row r="2641">
          <cell r="B2641">
            <v>2018</v>
          </cell>
          <cell r="C2641">
            <v>7</v>
          </cell>
          <cell r="E2641" t="str">
            <v>NYG</v>
          </cell>
          <cell r="I2641">
            <v>20</v>
          </cell>
          <cell r="J2641">
            <v>23</v>
          </cell>
          <cell r="L2641">
            <v>0</v>
          </cell>
        </row>
        <row r="2642">
          <cell r="B2642">
            <v>2018</v>
          </cell>
          <cell r="C2642">
            <v>8</v>
          </cell>
          <cell r="E2642" t="str">
            <v>NYG</v>
          </cell>
          <cell r="I2642">
            <v>13</v>
          </cell>
          <cell r="J2642">
            <v>20</v>
          </cell>
          <cell r="L2642">
            <v>0</v>
          </cell>
        </row>
        <row r="2643">
          <cell r="B2643">
            <v>2018</v>
          </cell>
          <cell r="C2643">
            <v>10</v>
          </cell>
          <cell r="E2643" t="str">
            <v>NYG</v>
          </cell>
          <cell r="I2643">
            <v>27</v>
          </cell>
          <cell r="J2643">
            <v>23</v>
          </cell>
          <cell r="L2643">
            <v>0</v>
          </cell>
        </row>
        <row r="2644">
          <cell r="B2644">
            <v>2018</v>
          </cell>
          <cell r="C2644">
            <v>11</v>
          </cell>
          <cell r="E2644" t="str">
            <v>NYG</v>
          </cell>
          <cell r="I2644">
            <v>38</v>
          </cell>
          <cell r="J2644">
            <v>35</v>
          </cell>
          <cell r="L2644">
            <v>0</v>
          </cell>
        </row>
        <row r="2645">
          <cell r="B2645">
            <v>2018</v>
          </cell>
          <cell r="C2645">
            <v>12</v>
          </cell>
          <cell r="E2645" t="str">
            <v>NYG</v>
          </cell>
          <cell r="I2645">
            <v>22</v>
          </cell>
          <cell r="J2645">
            <v>25</v>
          </cell>
          <cell r="L2645">
            <v>0</v>
          </cell>
        </row>
        <row r="2646">
          <cell r="B2646">
            <v>2018</v>
          </cell>
          <cell r="C2646">
            <v>13</v>
          </cell>
          <cell r="E2646" t="str">
            <v>NYG</v>
          </cell>
          <cell r="I2646">
            <v>30</v>
          </cell>
          <cell r="J2646">
            <v>27</v>
          </cell>
          <cell r="L2646">
            <v>0</v>
          </cell>
        </row>
        <row r="2647">
          <cell r="B2647">
            <v>2018</v>
          </cell>
          <cell r="C2647">
            <v>14</v>
          </cell>
          <cell r="E2647" t="str">
            <v>NYG</v>
          </cell>
          <cell r="I2647">
            <v>40</v>
          </cell>
          <cell r="J2647">
            <v>16</v>
          </cell>
          <cell r="L2647">
            <v>0</v>
          </cell>
        </row>
        <row r="2648">
          <cell r="B2648">
            <v>2018</v>
          </cell>
          <cell r="C2648">
            <v>15</v>
          </cell>
          <cell r="E2648" t="str">
            <v>NYG</v>
          </cell>
          <cell r="I2648">
            <v>0</v>
          </cell>
          <cell r="J2648">
            <v>17</v>
          </cell>
          <cell r="L2648">
            <v>0</v>
          </cell>
        </row>
        <row r="2649">
          <cell r="B2649">
            <v>2018</v>
          </cell>
          <cell r="C2649">
            <v>16</v>
          </cell>
          <cell r="E2649" t="str">
            <v>NYG</v>
          </cell>
          <cell r="I2649">
            <v>27</v>
          </cell>
          <cell r="J2649">
            <v>28</v>
          </cell>
          <cell r="L2649">
            <v>0</v>
          </cell>
        </row>
        <row r="2650">
          <cell r="B2650">
            <v>2018</v>
          </cell>
          <cell r="C2650">
            <v>17</v>
          </cell>
          <cell r="E2650" t="str">
            <v>NYG</v>
          </cell>
          <cell r="I2650">
            <v>35</v>
          </cell>
          <cell r="J2650">
            <v>36</v>
          </cell>
          <cell r="L2650">
            <v>0</v>
          </cell>
        </row>
        <row r="2651">
          <cell r="B2651">
            <v>2019</v>
          </cell>
          <cell r="C2651">
            <v>1</v>
          </cell>
          <cell r="E2651" t="str">
            <v>NYG</v>
          </cell>
          <cell r="I2651">
            <v>17</v>
          </cell>
          <cell r="J2651">
            <v>35</v>
          </cell>
          <cell r="L2651">
            <v>0</v>
          </cell>
        </row>
        <row r="2652">
          <cell r="B2652">
            <v>2019</v>
          </cell>
          <cell r="C2652">
            <v>2</v>
          </cell>
          <cell r="E2652" t="str">
            <v>NYG</v>
          </cell>
          <cell r="I2652">
            <v>14</v>
          </cell>
          <cell r="J2652">
            <v>28</v>
          </cell>
          <cell r="L2652">
            <v>0</v>
          </cell>
        </row>
        <row r="2653">
          <cell r="B2653">
            <v>2019</v>
          </cell>
          <cell r="C2653">
            <v>3</v>
          </cell>
          <cell r="E2653" t="str">
            <v>NYG</v>
          </cell>
          <cell r="I2653">
            <v>32</v>
          </cell>
          <cell r="J2653">
            <v>31</v>
          </cell>
          <cell r="L2653">
            <v>0</v>
          </cell>
        </row>
        <row r="2654">
          <cell r="B2654">
            <v>2019</v>
          </cell>
          <cell r="C2654">
            <v>4</v>
          </cell>
          <cell r="E2654" t="str">
            <v>NYG</v>
          </cell>
          <cell r="I2654">
            <v>24</v>
          </cell>
          <cell r="J2654">
            <v>3</v>
          </cell>
          <cell r="L2654">
            <v>0</v>
          </cell>
        </row>
        <row r="2655">
          <cell r="B2655">
            <v>2019</v>
          </cell>
          <cell r="C2655">
            <v>5</v>
          </cell>
          <cell r="E2655" t="str">
            <v>NYG</v>
          </cell>
          <cell r="I2655">
            <v>10</v>
          </cell>
          <cell r="J2655">
            <v>28</v>
          </cell>
          <cell r="L2655">
            <v>0</v>
          </cell>
        </row>
        <row r="2656">
          <cell r="B2656">
            <v>2019</v>
          </cell>
          <cell r="C2656">
            <v>6</v>
          </cell>
          <cell r="E2656" t="str">
            <v>NYG</v>
          </cell>
          <cell r="I2656">
            <v>14</v>
          </cell>
          <cell r="J2656">
            <v>35</v>
          </cell>
          <cell r="L2656">
            <v>0</v>
          </cell>
        </row>
        <row r="2657">
          <cell r="B2657">
            <v>2019</v>
          </cell>
          <cell r="C2657">
            <v>7</v>
          </cell>
          <cell r="E2657" t="str">
            <v>NYG</v>
          </cell>
          <cell r="I2657">
            <v>21</v>
          </cell>
          <cell r="J2657">
            <v>27</v>
          </cell>
          <cell r="L2657">
            <v>0</v>
          </cell>
        </row>
        <row r="2658">
          <cell r="B2658">
            <v>2019</v>
          </cell>
          <cell r="C2658">
            <v>8</v>
          </cell>
          <cell r="E2658" t="str">
            <v>NYG</v>
          </cell>
          <cell r="I2658">
            <v>26</v>
          </cell>
          <cell r="J2658">
            <v>31</v>
          </cell>
          <cell r="L2658">
            <v>0</v>
          </cell>
        </row>
        <row r="2659">
          <cell r="B2659">
            <v>2019</v>
          </cell>
          <cell r="C2659">
            <v>9</v>
          </cell>
          <cell r="E2659" t="str">
            <v>NYG</v>
          </cell>
          <cell r="I2659">
            <v>18</v>
          </cell>
          <cell r="J2659">
            <v>37</v>
          </cell>
          <cell r="L2659">
            <v>0</v>
          </cell>
        </row>
        <row r="2660">
          <cell r="B2660">
            <v>2019</v>
          </cell>
          <cell r="C2660">
            <v>10</v>
          </cell>
          <cell r="E2660" t="str">
            <v>NYG</v>
          </cell>
          <cell r="I2660">
            <v>27</v>
          </cell>
          <cell r="J2660">
            <v>34</v>
          </cell>
          <cell r="L2660">
            <v>0</v>
          </cell>
        </row>
        <row r="2661">
          <cell r="B2661">
            <v>2019</v>
          </cell>
          <cell r="C2661">
            <v>12</v>
          </cell>
          <cell r="E2661" t="str">
            <v>NYG</v>
          </cell>
          <cell r="I2661">
            <v>14</v>
          </cell>
          <cell r="J2661">
            <v>19</v>
          </cell>
          <cell r="L2661">
            <v>0</v>
          </cell>
        </row>
        <row r="2662">
          <cell r="B2662">
            <v>2019</v>
          </cell>
          <cell r="C2662">
            <v>13</v>
          </cell>
          <cell r="E2662" t="str">
            <v>NYG</v>
          </cell>
          <cell r="I2662">
            <v>13</v>
          </cell>
          <cell r="J2662">
            <v>31</v>
          </cell>
          <cell r="L2662">
            <v>0</v>
          </cell>
        </row>
        <row r="2663">
          <cell r="B2663">
            <v>2019</v>
          </cell>
          <cell r="C2663">
            <v>14</v>
          </cell>
          <cell r="E2663" t="str">
            <v>NYG</v>
          </cell>
          <cell r="I2663">
            <v>17</v>
          </cell>
          <cell r="J2663">
            <v>23</v>
          </cell>
          <cell r="L2663">
            <v>0</v>
          </cell>
        </row>
        <row r="2664">
          <cell r="B2664">
            <v>2019</v>
          </cell>
          <cell r="C2664">
            <v>15</v>
          </cell>
          <cell r="E2664" t="str">
            <v>NYG</v>
          </cell>
          <cell r="I2664">
            <v>36</v>
          </cell>
          <cell r="J2664">
            <v>20</v>
          </cell>
          <cell r="L2664">
            <v>0</v>
          </cell>
        </row>
        <row r="2665">
          <cell r="B2665">
            <v>2019</v>
          </cell>
          <cell r="C2665">
            <v>16</v>
          </cell>
          <cell r="E2665" t="str">
            <v>NYG</v>
          </cell>
          <cell r="I2665">
            <v>41</v>
          </cell>
          <cell r="J2665">
            <v>35</v>
          </cell>
          <cell r="L2665">
            <v>0</v>
          </cell>
        </row>
        <row r="2666">
          <cell r="B2666">
            <v>2019</v>
          </cell>
          <cell r="C2666">
            <v>17</v>
          </cell>
          <cell r="E2666" t="str">
            <v>NYG</v>
          </cell>
          <cell r="I2666">
            <v>17</v>
          </cell>
          <cell r="J2666">
            <v>34</v>
          </cell>
          <cell r="L2666">
            <v>0</v>
          </cell>
        </row>
        <row r="2667">
          <cell r="B2667">
            <v>2020</v>
          </cell>
          <cell r="C2667">
            <v>1</v>
          </cell>
          <cell r="E2667" t="str">
            <v>NYG</v>
          </cell>
          <cell r="I2667">
            <v>16</v>
          </cell>
          <cell r="J2667">
            <v>26</v>
          </cell>
          <cell r="L2667">
            <v>0</v>
          </cell>
        </row>
        <row r="2668">
          <cell r="B2668">
            <v>2020</v>
          </cell>
          <cell r="C2668">
            <v>2</v>
          </cell>
          <cell r="E2668" t="str">
            <v>NYG</v>
          </cell>
          <cell r="I2668">
            <v>13</v>
          </cell>
          <cell r="J2668">
            <v>17</v>
          </cell>
          <cell r="L2668">
            <v>0</v>
          </cell>
        </row>
        <row r="2669">
          <cell r="B2669">
            <v>2020</v>
          </cell>
          <cell r="C2669">
            <v>3</v>
          </cell>
          <cell r="E2669" t="str">
            <v>NYG</v>
          </cell>
          <cell r="I2669">
            <v>9</v>
          </cell>
          <cell r="J2669">
            <v>36</v>
          </cell>
          <cell r="L2669">
            <v>0</v>
          </cell>
        </row>
        <row r="2670">
          <cell r="B2670">
            <v>2020</v>
          </cell>
          <cell r="C2670">
            <v>4</v>
          </cell>
          <cell r="E2670" t="str">
            <v>NYG</v>
          </cell>
          <cell r="I2670">
            <v>9</v>
          </cell>
          <cell r="J2670">
            <v>17</v>
          </cell>
          <cell r="L2670">
            <v>0</v>
          </cell>
        </row>
        <row r="2671">
          <cell r="B2671">
            <v>2020</v>
          </cell>
          <cell r="C2671">
            <v>5</v>
          </cell>
          <cell r="E2671" t="str">
            <v>NYG</v>
          </cell>
          <cell r="I2671">
            <v>34</v>
          </cell>
          <cell r="J2671">
            <v>37</v>
          </cell>
          <cell r="L2671">
            <v>0</v>
          </cell>
        </row>
        <row r="2672">
          <cell r="B2672">
            <v>2020</v>
          </cell>
          <cell r="C2672">
            <v>6</v>
          </cell>
          <cell r="E2672" t="str">
            <v>NYG</v>
          </cell>
          <cell r="I2672">
            <v>20</v>
          </cell>
          <cell r="J2672">
            <v>19</v>
          </cell>
          <cell r="L2672">
            <v>0</v>
          </cell>
        </row>
        <row r="2673">
          <cell r="B2673">
            <v>2020</v>
          </cell>
          <cell r="C2673">
            <v>7</v>
          </cell>
          <cell r="E2673" t="str">
            <v>NYG</v>
          </cell>
          <cell r="I2673">
            <v>21</v>
          </cell>
          <cell r="J2673">
            <v>22</v>
          </cell>
          <cell r="L2673">
            <v>0</v>
          </cell>
        </row>
        <row r="2674">
          <cell r="B2674">
            <v>2020</v>
          </cell>
          <cell r="C2674">
            <v>8</v>
          </cell>
          <cell r="E2674" t="str">
            <v>NYG</v>
          </cell>
          <cell r="I2674">
            <v>23</v>
          </cell>
          <cell r="J2674">
            <v>25</v>
          </cell>
          <cell r="L2674">
            <v>0</v>
          </cell>
        </row>
        <row r="2675">
          <cell r="B2675">
            <v>2020</v>
          </cell>
          <cell r="C2675">
            <v>9</v>
          </cell>
          <cell r="E2675" t="str">
            <v>NYG</v>
          </cell>
          <cell r="I2675">
            <v>23</v>
          </cell>
          <cell r="J2675">
            <v>20</v>
          </cell>
          <cell r="L2675">
            <v>0</v>
          </cell>
        </row>
        <row r="2676">
          <cell r="B2676">
            <v>2020</v>
          </cell>
          <cell r="C2676">
            <v>10</v>
          </cell>
          <cell r="E2676" t="str">
            <v>NYG</v>
          </cell>
          <cell r="I2676">
            <v>27</v>
          </cell>
          <cell r="J2676">
            <v>17</v>
          </cell>
          <cell r="L2676">
            <v>0</v>
          </cell>
        </row>
        <row r="2677">
          <cell r="B2677">
            <v>2020</v>
          </cell>
          <cell r="C2677">
            <v>12</v>
          </cell>
          <cell r="E2677" t="str">
            <v>NYG</v>
          </cell>
          <cell r="I2677">
            <v>19</v>
          </cell>
          <cell r="J2677">
            <v>17</v>
          </cell>
          <cell r="L2677">
            <v>0</v>
          </cell>
        </row>
        <row r="2678">
          <cell r="B2678">
            <v>2020</v>
          </cell>
          <cell r="C2678">
            <v>13</v>
          </cell>
          <cell r="E2678" t="str">
            <v>NYG</v>
          </cell>
          <cell r="I2678">
            <v>17</v>
          </cell>
          <cell r="J2678">
            <v>12</v>
          </cell>
          <cell r="L2678">
            <v>0</v>
          </cell>
        </row>
        <row r="2679">
          <cell r="B2679">
            <v>2020</v>
          </cell>
          <cell r="C2679">
            <v>14</v>
          </cell>
          <cell r="E2679" t="str">
            <v>NYG</v>
          </cell>
          <cell r="I2679">
            <v>7</v>
          </cell>
          <cell r="J2679">
            <v>26</v>
          </cell>
          <cell r="L2679">
            <v>0</v>
          </cell>
        </row>
        <row r="2680">
          <cell r="B2680">
            <v>2020</v>
          </cell>
          <cell r="C2680">
            <v>15</v>
          </cell>
          <cell r="E2680" t="str">
            <v>NYG</v>
          </cell>
          <cell r="I2680">
            <v>6</v>
          </cell>
          <cell r="J2680">
            <v>20</v>
          </cell>
          <cell r="L2680">
            <v>0</v>
          </cell>
        </row>
        <row r="2681">
          <cell r="B2681">
            <v>2020</v>
          </cell>
          <cell r="C2681">
            <v>16</v>
          </cell>
          <cell r="E2681" t="str">
            <v>NYG</v>
          </cell>
          <cell r="I2681">
            <v>13</v>
          </cell>
          <cell r="J2681">
            <v>27</v>
          </cell>
          <cell r="L2681">
            <v>0</v>
          </cell>
        </row>
        <row r="2682">
          <cell r="B2682">
            <v>2020</v>
          </cell>
          <cell r="C2682">
            <v>17</v>
          </cell>
          <cell r="E2682" t="str">
            <v>NYG</v>
          </cell>
          <cell r="I2682">
            <v>23</v>
          </cell>
          <cell r="J2682">
            <v>19</v>
          </cell>
          <cell r="L2682">
            <v>0</v>
          </cell>
        </row>
        <row r="2683">
          <cell r="B2683">
            <v>2021</v>
          </cell>
          <cell r="C2683">
            <v>1</v>
          </cell>
          <cell r="E2683" t="str">
            <v>NYG</v>
          </cell>
          <cell r="I2683">
            <v>13</v>
          </cell>
          <cell r="J2683">
            <v>27</v>
          </cell>
          <cell r="L2683">
            <v>0</v>
          </cell>
        </row>
        <row r="2684">
          <cell r="B2684">
            <v>2021</v>
          </cell>
          <cell r="C2684">
            <v>2</v>
          </cell>
          <cell r="E2684" t="str">
            <v>NYG</v>
          </cell>
          <cell r="I2684">
            <v>29</v>
          </cell>
          <cell r="J2684">
            <v>30</v>
          </cell>
          <cell r="L2684">
            <v>0</v>
          </cell>
        </row>
        <row r="2685">
          <cell r="B2685">
            <v>2021</v>
          </cell>
          <cell r="C2685">
            <v>3</v>
          </cell>
          <cell r="E2685" t="str">
            <v>NYG</v>
          </cell>
          <cell r="I2685">
            <v>14</v>
          </cell>
          <cell r="J2685">
            <v>17</v>
          </cell>
          <cell r="L2685">
            <v>0</v>
          </cell>
        </row>
        <row r="2686">
          <cell r="B2686">
            <v>2021</v>
          </cell>
          <cell r="C2686">
            <v>4</v>
          </cell>
          <cell r="E2686" t="str">
            <v>NYG</v>
          </cell>
          <cell r="I2686">
            <v>27</v>
          </cell>
          <cell r="J2686">
            <v>21</v>
          </cell>
          <cell r="L2686">
            <v>0</v>
          </cell>
        </row>
        <row r="2687">
          <cell r="B2687">
            <v>2021</v>
          </cell>
          <cell r="C2687">
            <v>5</v>
          </cell>
          <cell r="E2687" t="str">
            <v>NYG</v>
          </cell>
          <cell r="I2687">
            <v>20</v>
          </cell>
          <cell r="J2687">
            <v>44</v>
          </cell>
          <cell r="L2687">
            <v>0</v>
          </cell>
        </row>
        <row r="2688">
          <cell r="B2688">
            <v>2021</v>
          </cell>
          <cell r="C2688">
            <v>6</v>
          </cell>
          <cell r="E2688" t="str">
            <v>NYG</v>
          </cell>
          <cell r="I2688">
            <v>11</v>
          </cell>
          <cell r="J2688">
            <v>38</v>
          </cell>
          <cell r="L2688">
            <v>0</v>
          </cell>
        </row>
        <row r="2689">
          <cell r="B2689">
            <v>2021</v>
          </cell>
          <cell r="C2689">
            <v>7</v>
          </cell>
          <cell r="E2689" t="str">
            <v>NYG</v>
          </cell>
          <cell r="I2689">
            <v>25</v>
          </cell>
          <cell r="J2689">
            <v>3</v>
          </cell>
          <cell r="L2689">
            <v>0</v>
          </cell>
        </row>
        <row r="2690">
          <cell r="B2690">
            <v>2021</v>
          </cell>
          <cell r="C2690">
            <v>8</v>
          </cell>
          <cell r="E2690" t="str">
            <v>NYG</v>
          </cell>
          <cell r="I2690">
            <v>17</v>
          </cell>
          <cell r="J2690">
            <v>20</v>
          </cell>
          <cell r="L2690">
            <v>0</v>
          </cell>
        </row>
        <row r="2691">
          <cell r="B2691">
            <v>2021</v>
          </cell>
          <cell r="C2691">
            <v>9</v>
          </cell>
          <cell r="E2691" t="str">
            <v>NYG</v>
          </cell>
          <cell r="I2691">
            <v>23</v>
          </cell>
          <cell r="J2691">
            <v>16</v>
          </cell>
          <cell r="L2691">
            <v>0</v>
          </cell>
        </row>
        <row r="2692">
          <cell r="B2692">
            <v>2021</v>
          </cell>
          <cell r="C2692">
            <v>11</v>
          </cell>
          <cell r="E2692" t="str">
            <v>NYG</v>
          </cell>
          <cell r="I2692">
            <v>10</v>
          </cell>
          <cell r="J2692">
            <v>30</v>
          </cell>
          <cell r="L2692">
            <v>0</v>
          </cell>
        </row>
        <row r="2693">
          <cell r="B2693">
            <v>2021</v>
          </cell>
          <cell r="C2693">
            <v>12</v>
          </cell>
          <cell r="E2693" t="str">
            <v>NYG</v>
          </cell>
          <cell r="I2693">
            <v>13</v>
          </cell>
          <cell r="J2693">
            <v>7</v>
          </cell>
          <cell r="L2693">
            <v>0</v>
          </cell>
        </row>
        <row r="2694">
          <cell r="B2694">
            <v>2021</v>
          </cell>
          <cell r="C2694">
            <v>13</v>
          </cell>
          <cell r="E2694" t="str">
            <v>NYG</v>
          </cell>
          <cell r="I2694">
            <v>9</v>
          </cell>
          <cell r="J2694">
            <v>20</v>
          </cell>
          <cell r="L2694">
            <v>0</v>
          </cell>
        </row>
        <row r="2695">
          <cell r="B2695">
            <v>2021</v>
          </cell>
          <cell r="C2695">
            <v>14</v>
          </cell>
          <cell r="E2695" t="str">
            <v>NYG</v>
          </cell>
          <cell r="I2695">
            <v>21</v>
          </cell>
          <cell r="J2695">
            <v>37</v>
          </cell>
          <cell r="L2695">
            <v>0</v>
          </cell>
        </row>
        <row r="2696">
          <cell r="B2696">
            <v>2021</v>
          </cell>
          <cell r="C2696">
            <v>15</v>
          </cell>
          <cell r="E2696" t="str">
            <v>NYG</v>
          </cell>
          <cell r="I2696">
            <v>6</v>
          </cell>
          <cell r="J2696">
            <v>21</v>
          </cell>
          <cell r="L2696">
            <v>0</v>
          </cell>
        </row>
        <row r="2697">
          <cell r="B2697">
            <v>2021</v>
          </cell>
          <cell r="C2697">
            <v>16</v>
          </cell>
          <cell r="E2697" t="str">
            <v>NYG</v>
          </cell>
          <cell r="I2697">
            <v>10</v>
          </cell>
          <cell r="J2697">
            <v>34</v>
          </cell>
          <cell r="L2697">
            <v>0</v>
          </cell>
        </row>
        <row r="2698">
          <cell r="B2698">
            <v>2021</v>
          </cell>
          <cell r="C2698">
            <v>17</v>
          </cell>
          <cell r="E2698" t="str">
            <v>NYG</v>
          </cell>
          <cell r="I2698">
            <v>3</v>
          </cell>
          <cell r="J2698">
            <v>29</v>
          </cell>
          <cell r="L2698">
            <v>0</v>
          </cell>
        </row>
        <row r="2699">
          <cell r="B2699">
            <v>2021</v>
          </cell>
          <cell r="C2699">
            <v>18</v>
          </cell>
          <cell r="E2699" t="str">
            <v>NYG</v>
          </cell>
          <cell r="I2699">
            <v>7</v>
          </cell>
          <cell r="J2699">
            <v>22</v>
          </cell>
          <cell r="L2699">
            <v>0</v>
          </cell>
        </row>
        <row r="2700">
          <cell r="B2700">
            <v>2022</v>
          </cell>
          <cell r="C2700">
            <v>1</v>
          </cell>
          <cell r="E2700" t="str">
            <v>NYG</v>
          </cell>
          <cell r="I2700">
            <v>21</v>
          </cell>
          <cell r="J2700">
            <v>20</v>
          </cell>
          <cell r="L2700">
            <v>0</v>
          </cell>
        </row>
        <row r="2701">
          <cell r="B2701">
            <v>2022</v>
          </cell>
          <cell r="C2701">
            <v>2</v>
          </cell>
          <cell r="E2701" t="str">
            <v>NYG</v>
          </cell>
          <cell r="I2701">
            <v>19</v>
          </cell>
          <cell r="J2701">
            <v>16</v>
          </cell>
          <cell r="L2701">
            <v>0</v>
          </cell>
        </row>
        <row r="2702">
          <cell r="B2702">
            <v>2022</v>
          </cell>
          <cell r="C2702">
            <v>3</v>
          </cell>
          <cell r="E2702" t="str">
            <v>NYG</v>
          </cell>
          <cell r="I2702">
            <v>16</v>
          </cell>
          <cell r="J2702">
            <v>23</v>
          </cell>
          <cell r="L2702">
            <v>0</v>
          </cell>
        </row>
        <row r="2703">
          <cell r="B2703">
            <v>2022</v>
          </cell>
          <cell r="C2703">
            <v>4</v>
          </cell>
          <cell r="E2703" t="str">
            <v>NYG</v>
          </cell>
          <cell r="I2703">
            <v>20</v>
          </cell>
          <cell r="J2703">
            <v>12</v>
          </cell>
          <cell r="L2703">
            <v>0</v>
          </cell>
        </row>
        <row r="2704">
          <cell r="B2704">
            <v>2022</v>
          </cell>
          <cell r="C2704">
            <v>5</v>
          </cell>
          <cell r="E2704" t="str">
            <v>NYG</v>
          </cell>
          <cell r="I2704">
            <v>27</v>
          </cell>
          <cell r="J2704">
            <v>22</v>
          </cell>
          <cell r="L2704">
            <v>0</v>
          </cell>
        </row>
        <row r="2705">
          <cell r="B2705">
            <v>2022</v>
          </cell>
          <cell r="C2705">
            <v>6</v>
          </cell>
          <cell r="E2705" t="str">
            <v>NYG</v>
          </cell>
          <cell r="I2705">
            <v>24</v>
          </cell>
          <cell r="J2705">
            <v>20</v>
          </cell>
          <cell r="L2705">
            <v>0</v>
          </cell>
        </row>
        <row r="2706">
          <cell r="B2706">
            <v>2022</v>
          </cell>
          <cell r="C2706">
            <v>7</v>
          </cell>
          <cell r="E2706" t="str">
            <v>NYG</v>
          </cell>
          <cell r="I2706">
            <v>23</v>
          </cell>
          <cell r="J2706">
            <v>17</v>
          </cell>
          <cell r="L2706">
            <v>0</v>
          </cell>
        </row>
        <row r="2707">
          <cell r="B2707">
            <v>2022</v>
          </cell>
          <cell r="C2707">
            <v>8</v>
          </cell>
          <cell r="E2707" t="str">
            <v>NYG</v>
          </cell>
          <cell r="I2707">
            <v>13</v>
          </cell>
          <cell r="J2707">
            <v>27</v>
          </cell>
          <cell r="L2707">
            <v>0</v>
          </cell>
        </row>
        <row r="2708">
          <cell r="B2708">
            <v>2022</v>
          </cell>
          <cell r="C2708">
            <v>10</v>
          </cell>
          <cell r="E2708" t="str">
            <v>NYG</v>
          </cell>
          <cell r="I2708">
            <v>24</v>
          </cell>
          <cell r="J2708">
            <v>16</v>
          </cell>
          <cell r="L2708">
            <v>0</v>
          </cell>
        </row>
        <row r="2709">
          <cell r="B2709">
            <v>2022</v>
          </cell>
          <cell r="C2709">
            <v>11</v>
          </cell>
          <cell r="E2709" t="str">
            <v>NYG</v>
          </cell>
          <cell r="I2709">
            <v>18</v>
          </cell>
          <cell r="J2709">
            <v>31</v>
          </cell>
          <cell r="L2709">
            <v>0</v>
          </cell>
        </row>
        <row r="2710">
          <cell r="B2710">
            <v>2022</v>
          </cell>
          <cell r="C2710">
            <v>12</v>
          </cell>
          <cell r="E2710" t="str">
            <v>NYG</v>
          </cell>
          <cell r="I2710">
            <v>20</v>
          </cell>
          <cell r="J2710">
            <v>28</v>
          </cell>
          <cell r="L2710">
            <v>0</v>
          </cell>
        </row>
        <row r="2711">
          <cell r="B2711">
            <v>2022</v>
          </cell>
          <cell r="C2711">
            <v>13</v>
          </cell>
          <cell r="E2711" t="str">
            <v>NYG</v>
          </cell>
          <cell r="I2711">
            <v>20</v>
          </cell>
          <cell r="J2711">
            <v>20</v>
          </cell>
          <cell r="L2711">
            <v>0</v>
          </cell>
        </row>
        <row r="2712">
          <cell r="B2712">
            <v>2022</v>
          </cell>
          <cell r="C2712">
            <v>14</v>
          </cell>
          <cell r="E2712" t="str">
            <v>NYG</v>
          </cell>
          <cell r="I2712">
            <v>22</v>
          </cell>
          <cell r="J2712">
            <v>48</v>
          </cell>
          <cell r="L2712">
            <v>0</v>
          </cell>
        </row>
        <row r="2713">
          <cell r="B2713">
            <v>2022</v>
          </cell>
          <cell r="C2713">
            <v>15</v>
          </cell>
          <cell r="E2713" t="str">
            <v>NYG</v>
          </cell>
          <cell r="I2713">
            <v>20</v>
          </cell>
          <cell r="J2713">
            <v>12</v>
          </cell>
          <cell r="L2713">
            <v>0</v>
          </cell>
        </row>
        <row r="2714">
          <cell r="B2714">
            <v>2022</v>
          </cell>
          <cell r="C2714">
            <v>16</v>
          </cell>
          <cell r="E2714" t="str">
            <v>NYG</v>
          </cell>
          <cell r="I2714">
            <v>24</v>
          </cell>
          <cell r="J2714">
            <v>27</v>
          </cell>
          <cell r="L2714">
            <v>0</v>
          </cell>
        </row>
        <row r="2715">
          <cell r="B2715">
            <v>2022</v>
          </cell>
          <cell r="C2715">
            <v>17</v>
          </cell>
          <cell r="E2715" t="str">
            <v>NYG</v>
          </cell>
          <cell r="I2715">
            <v>38</v>
          </cell>
          <cell r="J2715">
            <v>10</v>
          </cell>
          <cell r="L2715">
            <v>0</v>
          </cell>
        </row>
        <row r="2716">
          <cell r="B2716">
            <v>2022</v>
          </cell>
          <cell r="C2716">
            <v>18</v>
          </cell>
          <cell r="E2716" t="str">
            <v>NYG</v>
          </cell>
          <cell r="I2716">
            <v>16</v>
          </cell>
          <cell r="J2716">
            <v>22</v>
          </cell>
          <cell r="L2716">
            <v>0</v>
          </cell>
        </row>
        <row r="2717">
          <cell r="B2717">
            <v>2022</v>
          </cell>
          <cell r="C2717">
            <v>1</v>
          </cell>
          <cell r="E2717" t="str">
            <v>NYG</v>
          </cell>
          <cell r="I2717">
            <v>31</v>
          </cell>
          <cell r="J2717">
            <v>24</v>
          </cell>
          <cell r="L2717">
            <v>1</v>
          </cell>
        </row>
        <row r="2718">
          <cell r="B2718">
            <v>2022</v>
          </cell>
          <cell r="C2718">
            <v>2</v>
          </cell>
          <cell r="E2718" t="str">
            <v>NYG</v>
          </cell>
          <cell r="I2718">
            <v>7</v>
          </cell>
          <cell r="J2718">
            <v>38</v>
          </cell>
          <cell r="L2718">
            <v>1</v>
          </cell>
        </row>
        <row r="2719">
          <cell r="B2719">
            <v>2023</v>
          </cell>
          <cell r="C2719">
            <v>1</v>
          </cell>
          <cell r="E2719" t="str">
            <v>NYG</v>
          </cell>
          <cell r="I2719">
            <v>0</v>
          </cell>
          <cell r="J2719">
            <v>40</v>
          </cell>
          <cell r="L2719">
            <v>0</v>
          </cell>
        </row>
        <row r="2720">
          <cell r="B2720">
            <v>2023</v>
          </cell>
          <cell r="C2720">
            <v>2</v>
          </cell>
          <cell r="E2720" t="str">
            <v>NYG</v>
          </cell>
          <cell r="I2720">
            <v>31</v>
          </cell>
          <cell r="J2720">
            <v>28</v>
          </cell>
          <cell r="L2720">
            <v>0</v>
          </cell>
        </row>
        <row r="2721">
          <cell r="B2721">
            <v>2023</v>
          </cell>
          <cell r="C2721">
            <v>3</v>
          </cell>
          <cell r="E2721" t="str">
            <v>NYG</v>
          </cell>
          <cell r="I2721">
            <v>12</v>
          </cell>
          <cell r="J2721">
            <v>30</v>
          </cell>
          <cell r="L2721">
            <v>0</v>
          </cell>
        </row>
        <row r="2722">
          <cell r="B2722">
            <v>2023</v>
          </cell>
          <cell r="C2722">
            <v>4</v>
          </cell>
          <cell r="E2722" t="str">
            <v>NYG</v>
          </cell>
          <cell r="I2722">
            <v>3</v>
          </cell>
          <cell r="J2722">
            <v>24</v>
          </cell>
          <cell r="L2722">
            <v>0</v>
          </cell>
        </row>
        <row r="2723">
          <cell r="B2723">
            <v>2023</v>
          </cell>
          <cell r="C2723">
            <v>5</v>
          </cell>
          <cell r="E2723" t="str">
            <v>NYG</v>
          </cell>
          <cell r="I2723">
            <v>16</v>
          </cell>
          <cell r="J2723">
            <v>31</v>
          </cell>
          <cell r="L2723">
            <v>0</v>
          </cell>
        </row>
        <row r="2724">
          <cell r="B2724">
            <v>2023</v>
          </cell>
          <cell r="C2724">
            <v>6</v>
          </cell>
          <cell r="E2724" t="str">
            <v>NYG</v>
          </cell>
          <cell r="I2724">
            <v>9</v>
          </cell>
          <cell r="J2724">
            <v>14</v>
          </cell>
          <cell r="L2724">
            <v>0</v>
          </cell>
        </row>
        <row r="2725">
          <cell r="B2725">
            <v>2023</v>
          </cell>
          <cell r="C2725">
            <v>7</v>
          </cell>
          <cell r="E2725" t="str">
            <v>NYG</v>
          </cell>
          <cell r="I2725">
            <v>14</v>
          </cell>
          <cell r="J2725">
            <v>7</v>
          </cell>
          <cell r="L2725">
            <v>0</v>
          </cell>
        </row>
        <row r="2726">
          <cell r="B2726">
            <v>2023</v>
          </cell>
          <cell r="C2726">
            <v>8</v>
          </cell>
          <cell r="E2726" t="str">
            <v>NYG</v>
          </cell>
          <cell r="I2726">
            <v>10</v>
          </cell>
          <cell r="J2726">
            <v>13</v>
          </cell>
          <cell r="L2726">
            <v>0</v>
          </cell>
        </row>
        <row r="2727">
          <cell r="B2727">
            <v>2023</v>
          </cell>
          <cell r="C2727">
            <v>9</v>
          </cell>
          <cell r="E2727" t="str">
            <v>NYG</v>
          </cell>
          <cell r="I2727">
            <v>6</v>
          </cell>
          <cell r="J2727">
            <v>30</v>
          </cell>
          <cell r="L2727">
            <v>0</v>
          </cell>
        </row>
        <row r="2728">
          <cell r="B2728">
            <v>2023</v>
          </cell>
          <cell r="C2728">
            <v>10</v>
          </cell>
          <cell r="E2728" t="str">
            <v>NYG</v>
          </cell>
          <cell r="I2728">
            <v>17</v>
          </cell>
          <cell r="J2728">
            <v>49</v>
          </cell>
          <cell r="L2728">
            <v>0</v>
          </cell>
        </row>
        <row r="2729">
          <cell r="B2729">
            <v>2023</v>
          </cell>
          <cell r="C2729">
            <v>11</v>
          </cell>
          <cell r="E2729" t="str">
            <v>NYG</v>
          </cell>
          <cell r="I2729">
            <v>31</v>
          </cell>
          <cell r="J2729">
            <v>19</v>
          </cell>
          <cell r="L2729">
            <v>0</v>
          </cell>
        </row>
        <row r="2730">
          <cell r="B2730">
            <v>2023</v>
          </cell>
          <cell r="C2730">
            <v>12</v>
          </cell>
          <cell r="E2730" t="str">
            <v>NYG</v>
          </cell>
          <cell r="I2730">
            <v>10</v>
          </cell>
          <cell r="J2730">
            <v>7</v>
          </cell>
          <cell r="L2730">
            <v>0</v>
          </cell>
        </row>
        <row r="2731">
          <cell r="B2731">
            <v>2023</v>
          </cell>
          <cell r="C2731">
            <v>14</v>
          </cell>
          <cell r="E2731" t="str">
            <v>NYG</v>
          </cell>
          <cell r="I2731">
            <v>24</v>
          </cell>
          <cell r="J2731">
            <v>22</v>
          </cell>
          <cell r="L2731">
            <v>0</v>
          </cell>
        </row>
        <row r="2732">
          <cell r="B2732">
            <v>2023</v>
          </cell>
          <cell r="C2732">
            <v>15</v>
          </cell>
          <cell r="E2732" t="str">
            <v>NYG</v>
          </cell>
          <cell r="I2732">
            <v>6</v>
          </cell>
          <cell r="J2732">
            <v>24</v>
          </cell>
          <cell r="L2732">
            <v>0</v>
          </cell>
        </row>
        <row r="2733">
          <cell r="B2733">
            <v>2023</v>
          </cell>
          <cell r="C2733">
            <v>16</v>
          </cell>
          <cell r="E2733" t="str">
            <v>NYG</v>
          </cell>
          <cell r="I2733">
            <v>25</v>
          </cell>
          <cell r="J2733">
            <v>33</v>
          </cell>
          <cell r="L2733">
            <v>0</v>
          </cell>
        </row>
        <row r="2734">
          <cell r="B2734">
            <v>2023</v>
          </cell>
          <cell r="C2734">
            <v>17</v>
          </cell>
          <cell r="E2734" t="str">
            <v>NYG</v>
          </cell>
          <cell r="I2734">
            <v>25</v>
          </cell>
          <cell r="J2734">
            <v>26</v>
          </cell>
          <cell r="L2734">
            <v>0</v>
          </cell>
        </row>
        <row r="2735">
          <cell r="B2735">
            <v>2023</v>
          </cell>
          <cell r="C2735">
            <v>18</v>
          </cell>
          <cell r="E2735" t="str">
            <v>NYG</v>
          </cell>
          <cell r="I2735">
            <v>27</v>
          </cell>
          <cell r="J2735">
            <v>10</v>
          </cell>
          <cell r="L2735">
            <v>0</v>
          </cell>
        </row>
        <row r="2736">
          <cell r="B2736">
            <v>2024</v>
          </cell>
          <cell r="C2736">
            <v>1</v>
          </cell>
          <cell r="E2736" t="str">
            <v>NYG</v>
          </cell>
          <cell r="I2736">
            <v>6</v>
          </cell>
          <cell r="J2736">
            <v>28</v>
          </cell>
          <cell r="L2736">
            <v>0</v>
          </cell>
        </row>
        <row r="2737">
          <cell r="B2737">
            <v>2024</v>
          </cell>
          <cell r="C2737">
            <v>2</v>
          </cell>
          <cell r="E2737" t="str">
            <v>NYG</v>
          </cell>
          <cell r="I2737">
            <v>18</v>
          </cell>
          <cell r="J2737">
            <v>21</v>
          </cell>
          <cell r="L2737">
            <v>0</v>
          </cell>
        </row>
        <row r="2738">
          <cell r="B2738">
            <v>2024</v>
          </cell>
          <cell r="C2738">
            <v>3</v>
          </cell>
          <cell r="E2738" t="str">
            <v>NYG</v>
          </cell>
          <cell r="I2738">
            <v>21</v>
          </cell>
          <cell r="J2738">
            <v>15</v>
          </cell>
          <cell r="L2738">
            <v>0</v>
          </cell>
        </row>
        <row r="2739">
          <cell r="B2739">
            <v>2024</v>
          </cell>
          <cell r="C2739">
            <v>4</v>
          </cell>
          <cell r="E2739" t="str">
            <v>NYG</v>
          </cell>
          <cell r="I2739">
            <v>15</v>
          </cell>
          <cell r="J2739">
            <v>20</v>
          </cell>
          <cell r="L2739">
            <v>0</v>
          </cell>
        </row>
        <row r="2740">
          <cell r="B2740">
            <v>2024</v>
          </cell>
          <cell r="C2740">
            <v>5</v>
          </cell>
          <cell r="E2740" t="str">
            <v>NYG</v>
          </cell>
          <cell r="I2740">
            <v>29</v>
          </cell>
          <cell r="J2740">
            <v>20</v>
          </cell>
          <cell r="L2740">
            <v>0</v>
          </cell>
        </row>
        <row r="2741">
          <cell r="B2741">
            <v>2024</v>
          </cell>
          <cell r="C2741">
            <v>6</v>
          </cell>
          <cell r="E2741" t="str">
            <v>NYG</v>
          </cell>
          <cell r="I2741">
            <v>7</v>
          </cell>
          <cell r="J2741">
            <v>17</v>
          </cell>
          <cell r="L2741">
            <v>0</v>
          </cell>
        </row>
        <row r="2742">
          <cell r="B2742">
            <v>2024</v>
          </cell>
          <cell r="C2742">
            <v>7</v>
          </cell>
          <cell r="E2742" t="str">
            <v>NYG</v>
          </cell>
          <cell r="I2742">
            <v>3</v>
          </cell>
          <cell r="J2742">
            <v>28</v>
          </cell>
          <cell r="L2742">
            <v>0</v>
          </cell>
        </row>
        <row r="2743">
          <cell r="B2743">
            <v>2024</v>
          </cell>
          <cell r="C2743">
            <v>8</v>
          </cell>
          <cell r="E2743" t="str">
            <v>NYG</v>
          </cell>
          <cell r="I2743">
            <v>18</v>
          </cell>
          <cell r="J2743">
            <v>26</v>
          </cell>
          <cell r="L2743">
            <v>0</v>
          </cell>
        </row>
        <row r="2744">
          <cell r="B2744">
            <v>2024</v>
          </cell>
          <cell r="C2744">
            <v>9</v>
          </cell>
          <cell r="E2744" t="str">
            <v>NYG</v>
          </cell>
          <cell r="I2744">
            <v>22</v>
          </cell>
          <cell r="J2744">
            <v>27</v>
          </cell>
          <cell r="L2744">
            <v>0</v>
          </cell>
        </row>
        <row r="2745">
          <cell r="B2745">
            <v>2024</v>
          </cell>
          <cell r="C2745">
            <v>10</v>
          </cell>
          <cell r="E2745" t="str">
            <v>NYG</v>
          </cell>
          <cell r="I2745">
            <v>17</v>
          </cell>
          <cell r="J2745">
            <v>20</v>
          </cell>
          <cell r="L2745">
            <v>0</v>
          </cell>
        </row>
        <row r="2746">
          <cell r="B2746">
            <v>2024</v>
          </cell>
          <cell r="C2746">
            <v>12</v>
          </cell>
          <cell r="E2746" t="str">
            <v>NYG</v>
          </cell>
          <cell r="I2746">
            <v>7</v>
          </cell>
          <cell r="J2746">
            <v>30</v>
          </cell>
          <cell r="L2746">
            <v>0</v>
          </cell>
        </row>
        <row r="2747">
          <cell r="B2747">
            <v>2024</v>
          </cell>
          <cell r="C2747">
            <v>13</v>
          </cell>
          <cell r="E2747" t="str">
            <v>NYG</v>
          </cell>
          <cell r="I2747">
            <v>20</v>
          </cell>
          <cell r="J2747">
            <v>27</v>
          </cell>
          <cell r="L2747">
            <v>0</v>
          </cell>
        </row>
        <row r="2748">
          <cell r="B2748">
            <v>2024</v>
          </cell>
          <cell r="C2748">
            <v>14</v>
          </cell>
          <cell r="E2748" t="str">
            <v>NYG</v>
          </cell>
          <cell r="I2748">
            <v>11</v>
          </cell>
          <cell r="J2748">
            <v>14</v>
          </cell>
          <cell r="L2748">
            <v>0</v>
          </cell>
        </row>
        <row r="2749">
          <cell r="B2749">
            <v>2024</v>
          </cell>
          <cell r="C2749">
            <v>15</v>
          </cell>
          <cell r="E2749" t="str">
            <v>NYG</v>
          </cell>
          <cell r="I2749">
            <v>14</v>
          </cell>
          <cell r="J2749">
            <v>35</v>
          </cell>
          <cell r="L2749">
            <v>0</v>
          </cell>
        </row>
        <row r="2750">
          <cell r="B2750">
            <v>2024</v>
          </cell>
          <cell r="C2750">
            <v>16</v>
          </cell>
          <cell r="E2750" t="str">
            <v>NYG</v>
          </cell>
          <cell r="I2750">
            <v>7</v>
          </cell>
          <cell r="J2750">
            <v>34</v>
          </cell>
          <cell r="L2750">
            <v>0</v>
          </cell>
        </row>
        <row r="2751">
          <cell r="B2751">
            <v>2024</v>
          </cell>
          <cell r="C2751">
            <v>17</v>
          </cell>
          <cell r="E2751" t="str">
            <v>NYG</v>
          </cell>
          <cell r="I2751">
            <v>45</v>
          </cell>
          <cell r="J2751">
            <v>33</v>
          </cell>
          <cell r="L2751">
            <v>0</v>
          </cell>
        </row>
        <row r="2752">
          <cell r="B2752">
            <v>2024</v>
          </cell>
          <cell r="C2752">
            <v>18</v>
          </cell>
          <cell r="E2752" t="str">
            <v>NYG</v>
          </cell>
          <cell r="I2752">
            <v>13</v>
          </cell>
          <cell r="J2752">
            <v>20</v>
          </cell>
          <cell r="L2752">
            <v>0</v>
          </cell>
        </row>
        <row r="2753">
          <cell r="B2753">
            <v>2025</v>
          </cell>
          <cell r="C2753">
            <v>1</v>
          </cell>
          <cell r="E2753" t="str">
            <v>NYG</v>
          </cell>
          <cell r="I2753">
            <v>6</v>
          </cell>
          <cell r="J2753">
            <v>21</v>
          </cell>
          <cell r="L2753">
            <v>0</v>
          </cell>
        </row>
        <row r="2754">
          <cell r="B2754">
            <v>2025</v>
          </cell>
          <cell r="C2754">
            <v>2</v>
          </cell>
          <cell r="E2754" t="str">
            <v>NYG</v>
          </cell>
          <cell r="I2754">
            <v>37</v>
          </cell>
          <cell r="J2754">
            <v>40</v>
          </cell>
          <cell r="L2754">
            <v>0</v>
          </cell>
        </row>
        <row r="2755">
          <cell r="B2755">
            <v>2025</v>
          </cell>
          <cell r="C2755">
            <v>3</v>
          </cell>
          <cell r="E2755" t="str">
            <v>NYG</v>
          </cell>
          <cell r="I2755">
            <v>9</v>
          </cell>
          <cell r="J2755">
            <v>22</v>
          </cell>
          <cell r="L2755">
            <v>0</v>
          </cell>
        </row>
        <row r="2756">
          <cell r="B2756">
            <v>2025</v>
          </cell>
          <cell r="C2756">
            <v>4</v>
          </cell>
          <cell r="E2756" t="str">
            <v>NYG</v>
          </cell>
          <cell r="I2756">
            <v>21</v>
          </cell>
          <cell r="J2756">
            <v>18</v>
          </cell>
          <cell r="L2756">
            <v>0</v>
          </cell>
        </row>
        <row r="2757">
          <cell r="B2757">
            <v>2025</v>
          </cell>
          <cell r="C2757">
            <v>5</v>
          </cell>
          <cell r="E2757" t="str">
            <v>NYG</v>
          </cell>
          <cell r="I2757">
            <v>14</v>
          </cell>
          <cell r="J2757">
            <v>26</v>
          </cell>
          <cell r="L2757">
            <v>0</v>
          </cell>
        </row>
        <row r="2758">
          <cell r="B2758">
            <v>2025</v>
          </cell>
          <cell r="C2758">
            <v>6</v>
          </cell>
          <cell r="E2758" t="str">
            <v>NYG</v>
          </cell>
          <cell r="I2758">
            <v>34</v>
          </cell>
          <cell r="J2758">
            <v>17</v>
          </cell>
          <cell r="L2758">
            <v>0</v>
          </cell>
        </row>
        <row r="2759">
          <cell r="B2759">
            <v>2025</v>
          </cell>
          <cell r="C2759">
            <v>7</v>
          </cell>
          <cell r="E2759" t="str">
            <v>NYG</v>
          </cell>
          <cell r="I2759">
            <v>32</v>
          </cell>
          <cell r="J2759">
            <v>33</v>
          </cell>
          <cell r="L2759">
            <v>0</v>
          </cell>
        </row>
        <row r="2760">
          <cell r="B2760">
            <v>2025</v>
          </cell>
          <cell r="C2760">
            <v>8</v>
          </cell>
          <cell r="E2760" t="str">
            <v>NYG</v>
          </cell>
          <cell r="I2760">
            <v>20</v>
          </cell>
          <cell r="J2760">
            <v>38</v>
          </cell>
          <cell r="L2760">
            <v>0</v>
          </cell>
        </row>
        <row r="2761">
          <cell r="B2761">
            <v>2025</v>
          </cell>
          <cell r="C2761">
            <v>9</v>
          </cell>
          <cell r="E2761" t="str">
            <v>NYG</v>
          </cell>
          <cell r="I2761">
            <v>24</v>
          </cell>
          <cell r="J2761">
            <v>34</v>
          </cell>
          <cell r="L2761">
            <v>0</v>
          </cell>
        </row>
        <row r="2762">
          <cell r="B2762">
            <v>2025</v>
          </cell>
          <cell r="C2762">
            <v>10</v>
          </cell>
          <cell r="E2762" t="str">
            <v>NYG</v>
          </cell>
          <cell r="I2762">
            <v>20</v>
          </cell>
          <cell r="J2762">
            <v>24</v>
          </cell>
          <cell r="L2762">
            <v>0</v>
          </cell>
        </row>
        <row r="2763">
          <cell r="B2763">
            <v>2025</v>
          </cell>
          <cell r="C2763">
            <v>11</v>
          </cell>
          <cell r="E2763" t="str">
            <v>NYG</v>
          </cell>
          <cell r="I2763">
            <v>20</v>
          </cell>
          <cell r="J2763">
            <v>27</v>
          </cell>
          <cell r="L2763">
            <v>0</v>
          </cell>
        </row>
        <row r="2764">
          <cell r="B2764">
            <v>2025</v>
          </cell>
          <cell r="C2764">
            <v>12</v>
          </cell>
          <cell r="E2764" t="str">
            <v>NYG</v>
          </cell>
          <cell r="I2764">
            <v>27</v>
          </cell>
          <cell r="J2764">
            <v>34</v>
          </cell>
          <cell r="L2764">
            <v>0</v>
          </cell>
        </row>
        <row r="2765">
          <cell r="B2765">
            <v>2025</v>
          </cell>
          <cell r="C2765">
            <v>13</v>
          </cell>
          <cell r="E2765" t="str">
            <v>NYG</v>
          </cell>
          <cell r="I2765">
            <v>15</v>
          </cell>
          <cell r="J2765">
            <v>33</v>
          </cell>
          <cell r="L2765">
            <v>0</v>
          </cell>
        </row>
        <row r="2766">
          <cell r="B2766">
            <v>2025</v>
          </cell>
          <cell r="C2766">
            <v>15</v>
          </cell>
          <cell r="E2766" t="str">
            <v>NYG</v>
          </cell>
          <cell r="I2766">
            <v>21</v>
          </cell>
          <cell r="J2766">
            <v>29</v>
          </cell>
          <cell r="L2766">
            <v>0</v>
          </cell>
        </row>
        <row r="2767">
          <cell r="B2767">
            <v>2025</v>
          </cell>
          <cell r="C2767">
            <v>16</v>
          </cell>
          <cell r="E2767" t="str">
            <v>NYG</v>
          </cell>
          <cell r="I2767">
            <v>13</v>
          </cell>
          <cell r="J2767">
            <v>16</v>
          </cell>
          <cell r="L2767">
            <v>0</v>
          </cell>
        </row>
        <row r="2768">
          <cell r="B2768">
            <v>2025</v>
          </cell>
          <cell r="C2768">
            <v>17</v>
          </cell>
          <cell r="E2768" t="str">
            <v>NYG</v>
          </cell>
          <cell r="I2768">
            <v>34</v>
          </cell>
          <cell r="J2768">
            <v>10</v>
          </cell>
          <cell r="L2768">
            <v>0</v>
          </cell>
        </row>
        <row r="2769">
          <cell r="B2769">
            <v>2025</v>
          </cell>
          <cell r="C2769">
            <v>18</v>
          </cell>
          <cell r="E2769" t="str">
            <v>NYG</v>
          </cell>
          <cell r="I2769">
            <v>34</v>
          </cell>
          <cell r="J2769">
            <v>17</v>
          </cell>
          <cell r="L2769">
            <v>0</v>
          </cell>
        </row>
        <row r="2770">
          <cell r="B2770">
            <v>2026</v>
          </cell>
          <cell r="C2770">
            <v>1</v>
          </cell>
          <cell r="E2770" t="str">
            <v>NYG</v>
          </cell>
          <cell r="I2770">
            <v>28</v>
          </cell>
          <cell r="J2770">
            <v>20</v>
          </cell>
          <cell r="L2770">
            <v>0</v>
          </cell>
        </row>
        <row r="2771">
          <cell r="B2771">
            <v>2026</v>
          </cell>
          <cell r="C2771">
            <v>2</v>
          </cell>
          <cell r="E2771" t="str">
            <v>NYG</v>
          </cell>
          <cell r="I2771">
            <v>6</v>
          </cell>
          <cell r="J2771">
            <v>28</v>
          </cell>
          <cell r="L2771">
            <v>0</v>
          </cell>
        </row>
        <row r="2772">
          <cell r="B2772">
            <v>2026</v>
          </cell>
          <cell r="C2772">
            <v>3</v>
          </cell>
          <cell r="E2772" t="str">
            <v>NYG</v>
          </cell>
          <cell r="I2772">
            <v>12</v>
          </cell>
          <cell r="J2772">
            <v>7</v>
          </cell>
          <cell r="L2772">
            <v>0</v>
          </cell>
        </row>
        <row r="2773">
          <cell r="B2773">
            <v>2026</v>
          </cell>
          <cell r="C2773">
            <v>4</v>
          </cell>
          <cell r="E2773" t="str">
            <v>NYG</v>
          </cell>
          <cell r="I2773">
            <v>36</v>
          </cell>
          <cell r="J2773">
            <v>24</v>
          </cell>
          <cell r="L2773">
            <v>0</v>
          </cell>
        </row>
        <row r="2774">
          <cell r="B2774">
            <v>2026</v>
          </cell>
          <cell r="C2774">
            <v>5</v>
          </cell>
          <cell r="E2774" t="str">
            <v>NYG</v>
          </cell>
          <cell r="I2774">
            <v>27</v>
          </cell>
          <cell r="J2774">
            <v>27</v>
          </cell>
          <cell r="L2774">
            <v>0</v>
          </cell>
        </row>
        <row r="2775">
          <cell r="B2775">
            <v>2026</v>
          </cell>
          <cell r="C2775">
            <v>6</v>
          </cell>
          <cell r="E2775" t="str">
            <v>NYG</v>
          </cell>
          <cell r="I2775">
            <v>27</v>
          </cell>
          <cell r="J2775">
            <v>34</v>
          </cell>
          <cell r="L2775">
            <v>0</v>
          </cell>
        </row>
        <row r="2776">
          <cell r="B2776">
            <v>2026</v>
          </cell>
          <cell r="C2776">
            <v>7</v>
          </cell>
          <cell r="E2776" t="str">
            <v>NYG</v>
          </cell>
          <cell r="L2776">
            <v>0</v>
          </cell>
        </row>
        <row r="2777">
          <cell r="B2777">
            <v>2018</v>
          </cell>
          <cell r="C2777">
            <v>1</v>
          </cell>
          <cell r="E2777" t="str">
            <v>WSH</v>
          </cell>
          <cell r="I2777">
            <v>24</v>
          </cell>
          <cell r="J2777">
            <v>6</v>
          </cell>
          <cell r="L2777">
            <v>0</v>
          </cell>
        </row>
        <row r="2778">
          <cell r="B2778">
            <v>2018</v>
          </cell>
          <cell r="C2778">
            <v>2</v>
          </cell>
          <cell r="E2778" t="str">
            <v>WSH</v>
          </cell>
          <cell r="I2778">
            <v>9</v>
          </cell>
          <cell r="J2778">
            <v>21</v>
          </cell>
          <cell r="L2778">
            <v>0</v>
          </cell>
        </row>
        <row r="2779">
          <cell r="B2779">
            <v>2018</v>
          </cell>
          <cell r="C2779">
            <v>3</v>
          </cell>
          <cell r="E2779" t="str">
            <v>WSH</v>
          </cell>
          <cell r="I2779">
            <v>31</v>
          </cell>
          <cell r="J2779">
            <v>17</v>
          </cell>
          <cell r="L2779">
            <v>0</v>
          </cell>
        </row>
        <row r="2780">
          <cell r="B2780">
            <v>2018</v>
          </cell>
          <cell r="C2780">
            <v>5</v>
          </cell>
          <cell r="E2780" t="str">
            <v>WSH</v>
          </cell>
          <cell r="I2780">
            <v>19</v>
          </cell>
          <cell r="J2780">
            <v>43</v>
          </cell>
          <cell r="L2780">
            <v>0</v>
          </cell>
        </row>
        <row r="2781">
          <cell r="B2781">
            <v>2018</v>
          </cell>
          <cell r="C2781">
            <v>6</v>
          </cell>
          <cell r="E2781" t="str">
            <v>WSH</v>
          </cell>
          <cell r="I2781">
            <v>23</v>
          </cell>
          <cell r="J2781">
            <v>17</v>
          </cell>
          <cell r="L2781">
            <v>0</v>
          </cell>
        </row>
        <row r="2782">
          <cell r="B2782">
            <v>2018</v>
          </cell>
          <cell r="C2782">
            <v>7</v>
          </cell>
          <cell r="E2782" t="str">
            <v>WSH</v>
          </cell>
          <cell r="I2782">
            <v>20</v>
          </cell>
          <cell r="J2782">
            <v>17</v>
          </cell>
          <cell r="L2782">
            <v>0</v>
          </cell>
        </row>
        <row r="2783">
          <cell r="B2783">
            <v>2018</v>
          </cell>
          <cell r="C2783">
            <v>8</v>
          </cell>
          <cell r="E2783" t="str">
            <v>WSH</v>
          </cell>
          <cell r="I2783">
            <v>20</v>
          </cell>
          <cell r="J2783">
            <v>13</v>
          </cell>
          <cell r="L2783">
            <v>0</v>
          </cell>
        </row>
        <row r="2784">
          <cell r="B2784">
            <v>2018</v>
          </cell>
          <cell r="C2784">
            <v>9</v>
          </cell>
          <cell r="E2784" t="str">
            <v>WSH</v>
          </cell>
          <cell r="I2784">
            <v>14</v>
          </cell>
          <cell r="J2784">
            <v>38</v>
          </cell>
          <cell r="L2784">
            <v>0</v>
          </cell>
        </row>
        <row r="2785">
          <cell r="B2785">
            <v>2018</v>
          </cell>
          <cell r="C2785">
            <v>10</v>
          </cell>
          <cell r="E2785" t="str">
            <v>WSH</v>
          </cell>
          <cell r="I2785">
            <v>16</v>
          </cell>
          <cell r="J2785">
            <v>3</v>
          </cell>
          <cell r="L2785">
            <v>0</v>
          </cell>
        </row>
        <row r="2786">
          <cell r="B2786">
            <v>2018</v>
          </cell>
          <cell r="C2786">
            <v>11</v>
          </cell>
          <cell r="E2786" t="str">
            <v>WSH</v>
          </cell>
          <cell r="I2786">
            <v>21</v>
          </cell>
          <cell r="J2786">
            <v>23</v>
          </cell>
          <cell r="L2786">
            <v>0</v>
          </cell>
        </row>
        <row r="2787">
          <cell r="B2787">
            <v>2018</v>
          </cell>
          <cell r="C2787">
            <v>12</v>
          </cell>
          <cell r="E2787" t="str">
            <v>WSH</v>
          </cell>
          <cell r="I2787">
            <v>23</v>
          </cell>
          <cell r="J2787">
            <v>31</v>
          </cell>
          <cell r="L2787">
            <v>0</v>
          </cell>
        </row>
        <row r="2788">
          <cell r="B2788">
            <v>2018</v>
          </cell>
          <cell r="C2788">
            <v>13</v>
          </cell>
          <cell r="E2788" t="str">
            <v>WSH</v>
          </cell>
          <cell r="I2788">
            <v>13</v>
          </cell>
          <cell r="J2788">
            <v>28</v>
          </cell>
          <cell r="L2788">
            <v>0</v>
          </cell>
        </row>
        <row r="2789">
          <cell r="B2789">
            <v>2018</v>
          </cell>
          <cell r="C2789">
            <v>14</v>
          </cell>
          <cell r="E2789" t="str">
            <v>WSH</v>
          </cell>
          <cell r="I2789">
            <v>16</v>
          </cell>
          <cell r="J2789">
            <v>40</v>
          </cell>
          <cell r="L2789">
            <v>0</v>
          </cell>
        </row>
        <row r="2790">
          <cell r="B2790">
            <v>2018</v>
          </cell>
          <cell r="C2790">
            <v>15</v>
          </cell>
          <cell r="E2790" t="str">
            <v>WSH</v>
          </cell>
          <cell r="I2790">
            <v>16</v>
          </cell>
          <cell r="J2790">
            <v>13</v>
          </cell>
          <cell r="L2790">
            <v>0</v>
          </cell>
        </row>
        <row r="2791">
          <cell r="B2791">
            <v>2018</v>
          </cell>
          <cell r="C2791">
            <v>16</v>
          </cell>
          <cell r="E2791" t="str">
            <v>WSH</v>
          </cell>
          <cell r="I2791">
            <v>16</v>
          </cell>
          <cell r="J2791">
            <v>25</v>
          </cell>
          <cell r="L2791">
            <v>0</v>
          </cell>
        </row>
        <row r="2792">
          <cell r="B2792">
            <v>2018</v>
          </cell>
          <cell r="C2792">
            <v>17</v>
          </cell>
          <cell r="E2792" t="str">
            <v>WSH</v>
          </cell>
          <cell r="I2792">
            <v>0</v>
          </cell>
          <cell r="J2792">
            <v>24</v>
          </cell>
          <cell r="L2792">
            <v>0</v>
          </cell>
        </row>
        <row r="2793">
          <cell r="B2793">
            <v>2019</v>
          </cell>
          <cell r="C2793">
            <v>1</v>
          </cell>
          <cell r="E2793" t="str">
            <v>WSH</v>
          </cell>
          <cell r="I2793">
            <v>27</v>
          </cell>
          <cell r="J2793">
            <v>32</v>
          </cell>
          <cell r="L2793">
            <v>0</v>
          </cell>
        </row>
        <row r="2794">
          <cell r="B2794">
            <v>2019</v>
          </cell>
          <cell r="C2794">
            <v>2</v>
          </cell>
          <cell r="E2794" t="str">
            <v>WSH</v>
          </cell>
          <cell r="I2794">
            <v>21</v>
          </cell>
          <cell r="J2794">
            <v>31</v>
          </cell>
          <cell r="L2794">
            <v>0</v>
          </cell>
        </row>
        <row r="2795">
          <cell r="B2795">
            <v>2019</v>
          </cell>
          <cell r="C2795">
            <v>3</v>
          </cell>
          <cell r="E2795" t="str">
            <v>WSH</v>
          </cell>
          <cell r="I2795">
            <v>15</v>
          </cell>
          <cell r="J2795">
            <v>31</v>
          </cell>
          <cell r="L2795">
            <v>0</v>
          </cell>
        </row>
        <row r="2796">
          <cell r="B2796">
            <v>2019</v>
          </cell>
          <cell r="C2796">
            <v>4</v>
          </cell>
          <cell r="E2796" t="str">
            <v>WSH</v>
          </cell>
          <cell r="I2796">
            <v>3</v>
          </cell>
          <cell r="J2796">
            <v>24</v>
          </cell>
          <cell r="L2796">
            <v>0</v>
          </cell>
        </row>
        <row r="2797">
          <cell r="B2797">
            <v>2019</v>
          </cell>
          <cell r="C2797">
            <v>5</v>
          </cell>
          <cell r="E2797" t="str">
            <v>WSH</v>
          </cell>
          <cell r="I2797">
            <v>7</v>
          </cell>
          <cell r="J2797">
            <v>33</v>
          </cell>
          <cell r="L2797">
            <v>0</v>
          </cell>
        </row>
        <row r="2798">
          <cell r="B2798">
            <v>2019</v>
          </cell>
          <cell r="C2798">
            <v>6</v>
          </cell>
          <cell r="E2798" t="str">
            <v>WSH</v>
          </cell>
          <cell r="I2798">
            <v>17</v>
          </cell>
          <cell r="J2798">
            <v>16</v>
          </cell>
          <cell r="L2798">
            <v>0</v>
          </cell>
        </row>
        <row r="2799">
          <cell r="B2799">
            <v>2019</v>
          </cell>
          <cell r="C2799">
            <v>7</v>
          </cell>
          <cell r="E2799" t="str">
            <v>WSH</v>
          </cell>
          <cell r="I2799">
            <v>0</v>
          </cell>
          <cell r="J2799">
            <v>9</v>
          </cell>
          <cell r="L2799">
            <v>0</v>
          </cell>
        </row>
        <row r="2800">
          <cell r="B2800">
            <v>2019</v>
          </cell>
          <cell r="C2800">
            <v>8</v>
          </cell>
          <cell r="E2800" t="str">
            <v>WSH</v>
          </cell>
          <cell r="I2800">
            <v>9</v>
          </cell>
          <cell r="J2800">
            <v>19</v>
          </cell>
          <cell r="L2800">
            <v>0</v>
          </cell>
        </row>
        <row r="2801">
          <cell r="B2801">
            <v>2019</v>
          </cell>
          <cell r="C2801">
            <v>9</v>
          </cell>
          <cell r="E2801" t="str">
            <v>WSH</v>
          </cell>
          <cell r="I2801">
            <v>9</v>
          </cell>
          <cell r="J2801">
            <v>24</v>
          </cell>
          <cell r="L2801">
            <v>0</v>
          </cell>
        </row>
        <row r="2802">
          <cell r="B2802">
            <v>2019</v>
          </cell>
          <cell r="C2802">
            <v>11</v>
          </cell>
          <cell r="E2802" t="str">
            <v>WSH</v>
          </cell>
          <cell r="I2802">
            <v>17</v>
          </cell>
          <cell r="J2802">
            <v>34</v>
          </cell>
          <cell r="L2802">
            <v>0</v>
          </cell>
        </row>
        <row r="2803">
          <cell r="B2803">
            <v>2019</v>
          </cell>
          <cell r="C2803">
            <v>12</v>
          </cell>
          <cell r="E2803" t="str">
            <v>WSH</v>
          </cell>
          <cell r="I2803">
            <v>19</v>
          </cell>
          <cell r="J2803">
            <v>16</v>
          </cell>
          <cell r="L2803">
            <v>0</v>
          </cell>
        </row>
        <row r="2804">
          <cell r="B2804">
            <v>2019</v>
          </cell>
          <cell r="C2804">
            <v>13</v>
          </cell>
          <cell r="E2804" t="str">
            <v>WSH</v>
          </cell>
          <cell r="I2804">
            <v>29</v>
          </cell>
          <cell r="J2804">
            <v>21</v>
          </cell>
          <cell r="L2804">
            <v>0</v>
          </cell>
        </row>
        <row r="2805">
          <cell r="B2805">
            <v>2019</v>
          </cell>
          <cell r="C2805">
            <v>14</v>
          </cell>
          <cell r="E2805" t="str">
            <v>WSH</v>
          </cell>
          <cell r="I2805">
            <v>15</v>
          </cell>
          <cell r="J2805">
            <v>20</v>
          </cell>
          <cell r="L2805">
            <v>0</v>
          </cell>
        </row>
        <row r="2806">
          <cell r="B2806">
            <v>2019</v>
          </cell>
          <cell r="C2806">
            <v>15</v>
          </cell>
          <cell r="E2806" t="str">
            <v>WSH</v>
          </cell>
          <cell r="I2806">
            <v>27</v>
          </cell>
          <cell r="J2806">
            <v>37</v>
          </cell>
          <cell r="L2806">
            <v>0</v>
          </cell>
        </row>
        <row r="2807">
          <cell r="B2807">
            <v>2019</v>
          </cell>
          <cell r="C2807">
            <v>16</v>
          </cell>
          <cell r="E2807" t="str">
            <v>WSH</v>
          </cell>
          <cell r="I2807">
            <v>35</v>
          </cell>
          <cell r="J2807">
            <v>41</v>
          </cell>
          <cell r="L2807">
            <v>0</v>
          </cell>
        </row>
        <row r="2808">
          <cell r="B2808">
            <v>2019</v>
          </cell>
          <cell r="C2808">
            <v>17</v>
          </cell>
          <cell r="E2808" t="str">
            <v>WSH</v>
          </cell>
          <cell r="I2808">
            <v>16</v>
          </cell>
          <cell r="J2808">
            <v>47</v>
          </cell>
          <cell r="L2808">
            <v>0</v>
          </cell>
        </row>
        <row r="2809">
          <cell r="B2809">
            <v>2020</v>
          </cell>
          <cell r="C2809">
            <v>1</v>
          </cell>
          <cell r="E2809" t="str">
            <v>WSH</v>
          </cell>
          <cell r="I2809">
            <v>27</v>
          </cell>
          <cell r="J2809">
            <v>17</v>
          </cell>
          <cell r="L2809">
            <v>0</v>
          </cell>
        </row>
        <row r="2810">
          <cell r="B2810">
            <v>2020</v>
          </cell>
          <cell r="C2810">
            <v>2</v>
          </cell>
          <cell r="E2810" t="str">
            <v>WSH</v>
          </cell>
          <cell r="I2810">
            <v>15</v>
          </cell>
          <cell r="J2810">
            <v>30</v>
          </cell>
          <cell r="L2810">
            <v>0</v>
          </cell>
        </row>
        <row r="2811">
          <cell r="B2811">
            <v>2020</v>
          </cell>
          <cell r="C2811">
            <v>3</v>
          </cell>
          <cell r="E2811" t="str">
            <v>WSH</v>
          </cell>
          <cell r="I2811">
            <v>20</v>
          </cell>
          <cell r="J2811">
            <v>34</v>
          </cell>
          <cell r="L2811">
            <v>0</v>
          </cell>
        </row>
        <row r="2812">
          <cell r="B2812">
            <v>2020</v>
          </cell>
          <cell r="C2812">
            <v>4</v>
          </cell>
          <cell r="E2812" t="str">
            <v>WSH</v>
          </cell>
          <cell r="I2812">
            <v>17</v>
          </cell>
          <cell r="J2812">
            <v>31</v>
          </cell>
          <cell r="L2812">
            <v>0</v>
          </cell>
        </row>
        <row r="2813">
          <cell r="B2813">
            <v>2020</v>
          </cell>
          <cell r="C2813">
            <v>5</v>
          </cell>
          <cell r="E2813" t="str">
            <v>WSH</v>
          </cell>
          <cell r="I2813">
            <v>10</v>
          </cell>
          <cell r="J2813">
            <v>30</v>
          </cell>
          <cell r="L2813">
            <v>0</v>
          </cell>
        </row>
        <row r="2814">
          <cell r="B2814">
            <v>2020</v>
          </cell>
          <cell r="C2814">
            <v>6</v>
          </cell>
          <cell r="E2814" t="str">
            <v>WSH</v>
          </cell>
          <cell r="I2814">
            <v>19</v>
          </cell>
          <cell r="J2814">
            <v>20</v>
          </cell>
          <cell r="L2814">
            <v>0</v>
          </cell>
        </row>
        <row r="2815">
          <cell r="B2815">
            <v>2020</v>
          </cell>
          <cell r="C2815">
            <v>7</v>
          </cell>
          <cell r="E2815" t="str">
            <v>WSH</v>
          </cell>
          <cell r="I2815">
            <v>25</v>
          </cell>
          <cell r="J2815">
            <v>3</v>
          </cell>
          <cell r="L2815">
            <v>0</v>
          </cell>
        </row>
        <row r="2816">
          <cell r="B2816">
            <v>2020</v>
          </cell>
          <cell r="C2816">
            <v>9</v>
          </cell>
          <cell r="E2816" t="str">
            <v>WSH</v>
          </cell>
          <cell r="I2816">
            <v>20</v>
          </cell>
          <cell r="J2816">
            <v>23</v>
          </cell>
          <cell r="L2816">
            <v>0</v>
          </cell>
        </row>
        <row r="2817">
          <cell r="B2817">
            <v>2020</v>
          </cell>
          <cell r="C2817">
            <v>10</v>
          </cell>
          <cell r="E2817" t="str">
            <v>WSH</v>
          </cell>
          <cell r="I2817">
            <v>27</v>
          </cell>
          <cell r="J2817">
            <v>30</v>
          </cell>
          <cell r="L2817">
            <v>0</v>
          </cell>
        </row>
        <row r="2818">
          <cell r="B2818">
            <v>2020</v>
          </cell>
          <cell r="C2818">
            <v>11</v>
          </cell>
          <cell r="E2818" t="str">
            <v>WSH</v>
          </cell>
          <cell r="I2818">
            <v>20</v>
          </cell>
          <cell r="J2818">
            <v>9</v>
          </cell>
          <cell r="L2818">
            <v>0</v>
          </cell>
        </row>
        <row r="2819">
          <cell r="B2819">
            <v>2020</v>
          </cell>
          <cell r="C2819">
            <v>12</v>
          </cell>
          <cell r="E2819" t="str">
            <v>WSH</v>
          </cell>
          <cell r="I2819">
            <v>41</v>
          </cell>
          <cell r="J2819">
            <v>16</v>
          </cell>
          <cell r="L2819">
            <v>0</v>
          </cell>
        </row>
        <row r="2820">
          <cell r="B2820">
            <v>2020</v>
          </cell>
          <cell r="C2820">
            <v>13</v>
          </cell>
          <cell r="E2820" t="str">
            <v>WSH</v>
          </cell>
          <cell r="I2820">
            <v>23</v>
          </cell>
          <cell r="J2820">
            <v>17</v>
          </cell>
          <cell r="L2820">
            <v>0</v>
          </cell>
        </row>
        <row r="2821">
          <cell r="B2821">
            <v>2020</v>
          </cell>
          <cell r="C2821">
            <v>14</v>
          </cell>
          <cell r="E2821" t="str">
            <v>WSH</v>
          </cell>
          <cell r="I2821">
            <v>23</v>
          </cell>
          <cell r="J2821">
            <v>15</v>
          </cell>
          <cell r="L2821">
            <v>0</v>
          </cell>
        </row>
        <row r="2822">
          <cell r="B2822">
            <v>2020</v>
          </cell>
          <cell r="C2822">
            <v>15</v>
          </cell>
          <cell r="E2822" t="str">
            <v>WSH</v>
          </cell>
          <cell r="I2822">
            <v>15</v>
          </cell>
          <cell r="J2822">
            <v>20</v>
          </cell>
          <cell r="L2822">
            <v>0</v>
          </cell>
        </row>
        <row r="2823">
          <cell r="B2823">
            <v>2020</v>
          </cell>
          <cell r="C2823">
            <v>16</v>
          </cell>
          <cell r="E2823" t="str">
            <v>WSH</v>
          </cell>
          <cell r="I2823">
            <v>13</v>
          </cell>
          <cell r="J2823">
            <v>20</v>
          </cell>
          <cell r="L2823">
            <v>0</v>
          </cell>
        </row>
        <row r="2824">
          <cell r="B2824">
            <v>2020</v>
          </cell>
          <cell r="C2824">
            <v>17</v>
          </cell>
          <cell r="E2824" t="str">
            <v>WSH</v>
          </cell>
          <cell r="I2824">
            <v>20</v>
          </cell>
          <cell r="J2824">
            <v>14</v>
          </cell>
          <cell r="L2824">
            <v>0</v>
          </cell>
        </row>
        <row r="2825">
          <cell r="B2825">
            <v>2020</v>
          </cell>
          <cell r="C2825">
            <v>1</v>
          </cell>
          <cell r="E2825" t="str">
            <v>WSH</v>
          </cell>
          <cell r="I2825">
            <v>23</v>
          </cell>
          <cell r="J2825">
            <v>31</v>
          </cell>
          <cell r="L2825">
            <v>1</v>
          </cell>
        </row>
        <row r="2826">
          <cell r="B2826">
            <v>2021</v>
          </cell>
          <cell r="C2826">
            <v>1</v>
          </cell>
          <cell r="E2826" t="str">
            <v>WSH</v>
          </cell>
          <cell r="I2826">
            <v>16</v>
          </cell>
          <cell r="J2826">
            <v>20</v>
          </cell>
          <cell r="L2826">
            <v>0</v>
          </cell>
        </row>
        <row r="2827">
          <cell r="B2827">
            <v>2021</v>
          </cell>
          <cell r="C2827">
            <v>2</v>
          </cell>
          <cell r="E2827" t="str">
            <v>WSH</v>
          </cell>
          <cell r="I2827">
            <v>30</v>
          </cell>
          <cell r="J2827">
            <v>29</v>
          </cell>
          <cell r="L2827">
            <v>0</v>
          </cell>
        </row>
        <row r="2828">
          <cell r="B2828">
            <v>2021</v>
          </cell>
          <cell r="C2828">
            <v>3</v>
          </cell>
          <cell r="E2828" t="str">
            <v>WSH</v>
          </cell>
          <cell r="I2828">
            <v>21</v>
          </cell>
          <cell r="J2828">
            <v>43</v>
          </cell>
          <cell r="L2828">
            <v>0</v>
          </cell>
        </row>
        <row r="2829">
          <cell r="B2829">
            <v>2021</v>
          </cell>
          <cell r="C2829">
            <v>4</v>
          </cell>
          <cell r="E2829" t="str">
            <v>WSH</v>
          </cell>
          <cell r="I2829">
            <v>34</v>
          </cell>
          <cell r="J2829">
            <v>30</v>
          </cell>
          <cell r="L2829">
            <v>0</v>
          </cell>
        </row>
        <row r="2830">
          <cell r="B2830">
            <v>2021</v>
          </cell>
          <cell r="C2830">
            <v>5</v>
          </cell>
          <cell r="E2830" t="str">
            <v>WSH</v>
          </cell>
          <cell r="I2830">
            <v>22</v>
          </cell>
          <cell r="J2830">
            <v>33</v>
          </cell>
          <cell r="L2830">
            <v>0</v>
          </cell>
        </row>
        <row r="2831">
          <cell r="B2831">
            <v>2021</v>
          </cell>
          <cell r="C2831">
            <v>6</v>
          </cell>
          <cell r="E2831" t="str">
            <v>WSH</v>
          </cell>
          <cell r="I2831">
            <v>13</v>
          </cell>
          <cell r="J2831">
            <v>31</v>
          </cell>
          <cell r="L2831">
            <v>0</v>
          </cell>
        </row>
        <row r="2832">
          <cell r="B2832">
            <v>2021</v>
          </cell>
          <cell r="C2832">
            <v>7</v>
          </cell>
          <cell r="E2832" t="str">
            <v>WSH</v>
          </cell>
          <cell r="I2832">
            <v>10</v>
          </cell>
          <cell r="J2832">
            <v>24</v>
          </cell>
          <cell r="L2832">
            <v>0</v>
          </cell>
        </row>
        <row r="2833">
          <cell r="B2833">
            <v>2021</v>
          </cell>
          <cell r="C2833">
            <v>8</v>
          </cell>
          <cell r="E2833" t="str">
            <v>WSH</v>
          </cell>
          <cell r="I2833">
            <v>10</v>
          </cell>
          <cell r="J2833">
            <v>17</v>
          </cell>
          <cell r="L2833">
            <v>0</v>
          </cell>
        </row>
        <row r="2834">
          <cell r="B2834">
            <v>2021</v>
          </cell>
          <cell r="C2834">
            <v>10</v>
          </cell>
          <cell r="E2834" t="str">
            <v>WSH</v>
          </cell>
          <cell r="I2834">
            <v>29</v>
          </cell>
          <cell r="J2834">
            <v>19</v>
          </cell>
          <cell r="L2834">
            <v>0</v>
          </cell>
        </row>
        <row r="2835">
          <cell r="B2835">
            <v>2021</v>
          </cell>
          <cell r="C2835">
            <v>11</v>
          </cell>
          <cell r="E2835" t="str">
            <v>WSH</v>
          </cell>
          <cell r="I2835">
            <v>27</v>
          </cell>
          <cell r="J2835">
            <v>21</v>
          </cell>
          <cell r="L2835">
            <v>0</v>
          </cell>
        </row>
        <row r="2836">
          <cell r="B2836">
            <v>2021</v>
          </cell>
          <cell r="C2836">
            <v>12</v>
          </cell>
          <cell r="E2836" t="str">
            <v>WSH</v>
          </cell>
          <cell r="I2836">
            <v>17</v>
          </cell>
          <cell r="J2836">
            <v>15</v>
          </cell>
          <cell r="L2836">
            <v>0</v>
          </cell>
        </row>
        <row r="2837">
          <cell r="B2837">
            <v>2021</v>
          </cell>
          <cell r="C2837">
            <v>13</v>
          </cell>
          <cell r="E2837" t="str">
            <v>WSH</v>
          </cell>
          <cell r="I2837">
            <v>17</v>
          </cell>
          <cell r="J2837">
            <v>15</v>
          </cell>
          <cell r="L2837">
            <v>0</v>
          </cell>
        </row>
        <row r="2838">
          <cell r="B2838">
            <v>2021</v>
          </cell>
          <cell r="C2838">
            <v>14</v>
          </cell>
          <cell r="E2838" t="str">
            <v>WSH</v>
          </cell>
          <cell r="I2838">
            <v>20</v>
          </cell>
          <cell r="J2838">
            <v>27</v>
          </cell>
          <cell r="L2838">
            <v>0</v>
          </cell>
        </row>
        <row r="2839">
          <cell r="B2839">
            <v>2021</v>
          </cell>
          <cell r="C2839">
            <v>15</v>
          </cell>
          <cell r="E2839" t="str">
            <v>WSH</v>
          </cell>
          <cell r="I2839">
            <v>17</v>
          </cell>
          <cell r="J2839">
            <v>27</v>
          </cell>
          <cell r="L2839">
            <v>0</v>
          </cell>
        </row>
        <row r="2840">
          <cell r="B2840">
            <v>2021</v>
          </cell>
          <cell r="C2840">
            <v>16</v>
          </cell>
          <cell r="E2840" t="str">
            <v>WSH</v>
          </cell>
          <cell r="I2840">
            <v>14</v>
          </cell>
          <cell r="J2840">
            <v>56</v>
          </cell>
          <cell r="L2840">
            <v>0</v>
          </cell>
        </row>
        <row r="2841">
          <cell r="B2841">
            <v>2021</v>
          </cell>
          <cell r="C2841">
            <v>17</v>
          </cell>
          <cell r="E2841" t="str">
            <v>WSH</v>
          </cell>
          <cell r="I2841">
            <v>16</v>
          </cell>
          <cell r="J2841">
            <v>20</v>
          </cell>
          <cell r="L2841">
            <v>0</v>
          </cell>
        </row>
        <row r="2842">
          <cell r="B2842">
            <v>2021</v>
          </cell>
          <cell r="C2842">
            <v>18</v>
          </cell>
          <cell r="E2842" t="str">
            <v>WSH</v>
          </cell>
          <cell r="I2842">
            <v>22</v>
          </cell>
          <cell r="J2842">
            <v>7</v>
          </cell>
          <cell r="L2842">
            <v>0</v>
          </cell>
        </row>
        <row r="2843">
          <cell r="B2843">
            <v>2022</v>
          </cell>
          <cell r="C2843">
            <v>1</v>
          </cell>
          <cell r="E2843" t="str">
            <v>WSH</v>
          </cell>
          <cell r="I2843">
            <v>28</v>
          </cell>
          <cell r="J2843">
            <v>22</v>
          </cell>
          <cell r="L2843">
            <v>0</v>
          </cell>
        </row>
        <row r="2844">
          <cell r="B2844">
            <v>2022</v>
          </cell>
          <cell r="C2844">
            <v>2</v>
          </cell>
          <cell r="E2844" t="str">
            <v>WSH</v>
          </cell>
          <cell r="I2844">
            <v>27</v>
          </cell>
          <cell r="J2844">
            <v>36</v>
          </cell>
          <cell r="L2844">
            <v>0</v>
          </cell>
        </row>
        <row r="2845">
          <cell r="B2845">
            <v>2022</v>
          </cell>
          <cell r="C2845">
            <v>3</v>
          </cell>
          <cell r="E2845" t="str">
            <v>WSH</v>
          </cell>
          <cell r="I2845">
            <v>8</v>
          </cell>
          <cell r="J2845">
            <v>24</v>
          </cell>
          <cell r="L2845">
            <v>0</v>
          </cell>
        </row>
        <row r="2846">
          <cell r="B2846">
            <v>2022</v>
          </cell>
          <cell r="C2846">
            <v>4</v>
          </cell>
          <cell r="E2846" t="str">
            <v>WSH</v>
          </cell>
          <cell r="I2846">
            <v>10</v>
          </cell>
          <cell r="J2846">
            <v>25</v>
          </cell>
          <cell r="L2846">
            <v>0</v>
          </cell>
        </row>
        <row r="2847">
          <cell r="B2847">
            <v>2022</v>
          </cell>
          <cell r="C2847">
            <v>5</v>
          </cell>
          <cell r="E2847" t="str">
            <v>WSH</v>
          </cell>
          <cell r="I2847">
            <v>17</v>
          </cell>
          <cell r="J2847">
            <v>21</v>
          </cell>
          <cell r="L2847">
            <v>0</v>
          </cell>
        </row>
        <row r="2848">
          <cell r="B2848">
            <v>2022</v>
          </cell>
          <cell r="C2848">
            <v>6</v>
          </cell>
          <cell r="E2848" t="str">
            <v>WSH</v>
          </cell>
          <cell r="I2848">
            <v>12</v>
          </cell>
          <cell r="J2848">
            <v>7</v>
          </cell>
          <cell r="L2848">
            <v>0</v>
          </cell>
        </row>
        <row r="2849">
          <cell r="B2849">
            <v>2022</v>
          </cell>
          <cell r="C2849">
            <v>7</v>
          </cell>
          <cell r="E2849" t="str">
            <v>WSH</v>
          </cell>
          <cell r="I2849">
            <v>23</v>
          </cell>
          <cell r="J2849">
            <v>21</v>
          </cell>
          <cell r="L2849">
            <v>0</v>
          </cell>
        </row>
        <row r="2850">
          <cell r="B2850">
            <v>2022</v>
          </cell>
          <cell r="C2850">
            <v>8</v>
          </cell>
          <cell r="E2850" t="str">
            <v>WSH</v>
          </cell>
          <cell r="I2850">
            <v>17</v>
          </cell>
          <cell r="J2850">
            <v>16</v>
          </cell>
          <cell r="L2850">
            <v>0</v>
          </cell>
        </row>
        <row r="2851">
          <cell r="B2851">
            <v>2022</v>
          </cell>
          <cell r="C2851">
            <v>9</v>
          </cell>
          <cell r="E2851" t="str">
            <v>WSH</v>
          </cell>
          <cell r="I2851">
            <v>17</v>
          </cell>
          <cell r="J2851">
            <v>20</v>
          </cell>
          <cell r="L2851">
            <v>0</v>
          </cell>
        </row>
        <row r="2852">
          <cell r="B2852">
            <v>2022</v>
          </cell>
          <cell r="C2852">
            <v>10</v>
          </cell>
          <cell r="E2852" t="str">
            <v>WSH</v>
          </cell>
          <cell r="I2852">
            <v>32</v>
          </cell>
          <cell r="J2852">
            <v>21</v>
          </cell>
          <cell r="L2852">
            <v>0</v>
          </cell>
        </row>
        <row r="2853">
          <cell r="B2853">
            <v>2022</v>
          </cell>
          <cell r="C2853">
            <v>11</v>
          </cell>
          <cell r="E2853" t="str">
            <v>WSH</v>
          </cell>
          <cell r="I2853">
            <v>23</v>
          </cell>
          <cell r="J2853">
            <v>10</v>
          </cell>
          <cell r="L2853">
            <v>0</v>
          </cell>
        </row>
        <row r="2854">
          <cell r="B2854">
            <v>2022</v>
          </cell>
          <cell r="C2854">
            <v>12</v>
          </cell>
          <cell r="E2854" t="str">
            <v>WSH</v>
          </cell>
          <cell r="I2854">
            <v>19</v>
          </cell>
          <cell r="J2854">
            <v>13</v>
          </cell>
          <cell r="L2854">
            <v>0</v>
          </cell>
        </row>
        <row r="2855">
          <cell r="B2855">
            <v>2022</v>
          </cell>
          <cell r="C2855">
            <v>13</v>
          </cell>
          <cell r="E2855" t="str">
            <v>WSH</v>
          </cell>
          <cell r="I2855">
            <v>20</v>
          </cell>
          <cell r="J2855">
            <v>20</v>
          </cell>
          <cell r="L2855">
            <v>0</v>
          </cell>
        </row>
        <row r="2856">
          <cell r="B2856">
            <v>2022</v>
          </cell>
          <cell r="C2856">
            <v>15</v>
          </cell>
          <cell r="E2856" t="str">
            <v>WSH</v>
          </cell>
          <cell r="I2856">
            <v>12</v>
          </cell>
          <cell r="J2856">
            <v>20</v>
          </cell>
          <cell r="L2856">
            <v>0</v>
          </cell>
        </row>
        <row r="2857">
          <cell r="B2857">
            <v>2022</v>
          </cell>
          <cell r="C2857">
            <v>16</v>
          </cell>
          <cell r="E2857" t="str">
            <v>WSH</v>
          </cell>
          <cell r="I2857">
            <v>20</v>
          </cell>
          <cell r="J2857">
            <v>37</v>
          </cell>
          <cell r="L2857">
            <v>0</v>
          </cell>
        </row>
        <row r="2858">
          <cell r="B2858">
            <v>2022</v>
          </cell>
          <cell r="C2858">
            <v>17</v>
          </cell>
          <cell r="E2858" t="str">
            <v>WSH</v>
          </cell>
          <cell r="I2858">
            <v>10</v>
          </cell>
          <cell r="J2858">
            <v>24</v>
          </cell>
          <cell r="L2858">
            <v>0</v>
          </cell>
        </row>
        <row r="2859">
          <cell r="B2859">
            <v>2022</v>
          </cell>
          <cell r="C2859">
            <v>18</v>
          </cell>
          <cell r="E2859" t="str">
            <v>WSH</v>
          </cell>
          <cell r="I2859">
            <v>26</v>
          </cell>
          <cell r="J2859">
            <v>6</v>
          </cell>
          <cell r="L2859">
            <v>0</v>
          </cell>
        </row>
        <row r="2860">
          <cell r="B2860">
            <v>2023</v>
          </cell>
          <cell r="C2860">
            <v>1</v>
          </cell>
          <cell r="E2860" t="str">
            <v>WSH</v>
          </cell>
          <cell r="I2860">
            <v>20</v>
          </cell>
          <cell r="J2860">
            <v>16</v>
          </cell>
          <cell r="L2860">
            <v>0</v>
          </cell>
        </row>
        <row r="2861">
          <cell r="B2861">
            <v>2023</v>
          </cell>
          <cell r="C2861">
            <v>2</v>
          </cell>
          <cell r="E2861" t="str">
            <v>WSH</v>
          </cell>
          <cell r="I2861">
            <v>35</v>
          </cell>
          <cell r="J2861">
            <v>33</v>
          </cell>
          <cell r="L2861">
            <v>0</v>
          </cell>
        </row>
        <row r="2862">
          <cell r="B2862">
            <v>2023</v>
          </cell>
          <cell r="C2862">
            <v>3</v>
          </cell>
          <cell r="E2862" t="str">
            <v>WSH</v>
          </cell>
          <cell r="I2862">
            <v>3</v>
          </cell>
          <cell r="J2862">
            <v>37</v>
          </cell>
          <cell r="L2862">
            <v>0</v>
          </cell>
        </row>
        <row r="2863">
          <cell r="B2863">
            <v>2023</v>
          </cell>
          <cell r="C2863">
            <v>4</v>
          </cell>
          <cell r="E2863" t="str">
            <v>WSH</v>
          </cell>
          <cell r="I2863">
            <v>31</v>
          </cell>
          <cell r="J2863">
            <v>34</v>
          </cell>
          <cell r="L2863">
            <v>0</v>
          </cell>
        </row>
        <row r="2864">
          <cell r="B2864">
            <v>2023</v>
          </cell>
          <cell r="C2864">
            <v>5</v>
          </cell>
          <cell r="E2864" t="str">
            <v>WSH</v>
          </cell>
          <cell r="I2864">
            <v>20</v>
          </cell>
          <cell r="J2864">
            <v>40</v>
          </cell>
          <cell r="L2864">
            <v>0</v>
          </cell>
        </row>
        <row r="2865">
          <cell r="B2865">
            <v>2023</v>
          </cell>
          <cell r="C2865">
            <v>6</v>
          </cell>
          <cell r="E2865" t="str">
            <v>WSH</v>
          </cell>
          <cell r="I2865">
            <v>24</v>
          </cell>
          <cell r="J2865">
            <v>16</v>
          </cell>
          <cell r="L2865">
            <v>0</v>
          </cell>
        </row>
        <row r="2866">
          <cell r="B2866">
            <v>2023</v>
          </cell>
          <cell r="C2866">
            <v>7</v>
          </cell>
          <cell r="E2866" t="str">
            <v>WSH</v>
          </cell>
          <cell r="I2866">
            <v>7</v>
          </cell>
          <cell r="J2866">
            <v>14</v>
          </cell>
          <cell r="L2866">
            <v>0</v>
          </cell>
        </row>
        <row r="2867">
          <cell r="B2867">
            <v>2023</v>
          </cell>
          <cell r="C2867">
            <v>8</v>
          </cell>
          <cell r="E2867" t="str">
            <v>WSH</v>
          </cell>
          <cell r="I2867">
            <v>31</v>
          </cell>
          <cell r="J2867">
            <v>38</v>
          </cell>
          <cell r="L2867">
            <v>0</v>
          </cell>
        </row>
        <row r="2868">
          <cell r="B2868">
            <v>2023</v>
          </cell>
          <cell r="C2868">
            <v>9</v>
          </cell>
          <cell r="E2868" t="str">
            <v>WSH</v>
          </cell>
          <cell r="I2868">
            <v>20</v>
          </cell>
          <cell r="J2868">
            <v>17</v>
          </cell>
          <cell r="L2868">
            <v>0</v>
          </cell>
        </row>
        <row r="2869">
          <cell r="B2869">
            <v>2023</v>
          </cell>
          <cell r="C2869">
            <v>10</v>
          </cell>
          <cell r="E2869" t="str">
            <v>WSH</v>
          </cell>
          <cell r="I2869">
            <v>26</v>
          </cell>
          <cell r="J2869">
            <v>29</v>
          </cell>
          <cell r="L2869">
            <v>0</v>
          </cell>
        </row>
        <row r="2870">
          <cell r="B2870">
            <v>2023</v>
          </cell>
          <cell r="C2870">
            <v>11</v>
          </cell>
          <cell r="E2870" t="str">
            <v>WSH</v>
          </cell>
          <cell r="I2870">
            <v>19</v>
          </cell>
          <cell r="J2870">
            <v>31</v>
          </cell>
          <cell r="L2870">
            <v>0</v>
          </cell>
        </row>
        <row r="2871">
          <cell r="B2871">
            <v>2023</v>
          </cell>
          <cell r="C2871">
            <v>12</v>
          </cell>
          <cell r="E2871" t="str">
            <v>WSH</v>
          </cell>
          <cell r="I2871">
            <v>10</v>
          </cell>
          <cell r="J2871">
            <v>45</v>
          </cell>
          <cell r="L2871">
            <v>0</v>
          </cell>
        </row>
        <row r="2872">
          <cell r="B2872">
            <v>2023</v>
          </cell>
          <cell r="C2872">
            <v>13</v>
          </cell>
          <cell r="E2872" t="str">
            <v>WSH</v>
          </cell>
          <cell r="I2872">
            <v>15</v>
          </cell>
          <cell r="J2872">
            <v>45</v>
          </cell>
          <cell r="L2872">
            <v>0</v>
          </cell>
        </row>
        <row r="2873">
          <cell r="B2873">
            <v>2023</v>
          </cell>
          <cell r="C2873">
            <v>15</v>
          </cell>
          <cell r="E2873" t="str">
            <v>WSH</v>
          </cell>
          <cell r="I2873">
            <v>20</v>
          </cell>
          <cell r="J2873">
            <v>28</v>
          </cell>
          <cell r="L2873">
            <v>0</v>
          </cell>
        </row>
        <row r="2874">
          <cell r="B2874">
            <v>2023</v>
          </cell>
          <cell r="C2874">
            <v>16</v>
          </cell>
          <cell r="E2874" t="str">
            <v>WSH</v>
          </cell>
          <cell r="I2874">
            <v>28</v>
          </cell>
          <cell r="J2874">
            <v>30</v>
          </cell>
          <cell r="L2874">
            <v>0</v>
          </cell>
        </row>
        <row r="2875">
          <cell r="B2875">
            <v>2023</v>
          </cell>
          <cell r="C2875">
            <v>17</v>
          </cell>
          <cell r="E2875" t="str">
            <v>WSH</v>
          </cell>
          <cell r="I2875">
            <v>10</v>
          </cell>
          <cell r="J2875">
            <v>27</v>
          </cell>
          <cell r="L2875">
            <v>0</v>
          </cell>
        </row>
        <row r="2876">
          <cell r="B2876">
            <v>2023</v>
          </cell>
          <cell r="C2876">
            <v>18</v>
          </cell>
          <cell r="E2876" t="str">
            <v>WSH</v>
          </cell>
          <cell r="I2876">
            <v>10</v>
          </cell>
          <cell r="J2876">
            <v>38</v>
          </cell>
          <cell r="L2876">
            <v>0</v>
          </cell>
        </row>
        <row r="2877">
          <cell r="B2877">
            <v>2024</v>
          </cell>
          <cell r="C2877">
            <v>1</v>
          </cell>
          <cell r="E2877" t="str">
            <v>WSH</v>
          </cell>
          <cell r="I2877">
            <v>20</v>
          </cell>
          <cell r="J2877">
            <v>37</v>
          </cell>
          <cell r="L2877">
            <v>0</v>
          </cell>
        </row>
        <row r="2878">
          <cell r="B2878">
            <v>2024</v>
          </cell>
          <cell r="C2878">
            <v>2</v>
          </cell>
          <cell r="E2878" t="str">
            <v>WSH</v>
          </cell>
          <cell r="I2878">
            <v>21</v>
          </cell>
          <cell r="J2878">
            <v>18</v>
          </cell>
          <cell r="L2878">
            <v>0</v>
          </cell>
        </row>
        <row r="2879">
          <cell r="B2879">
            <v>2024</v>
          </cell>
          <cell r="C2879">
            <v>3</v>
          </cell>
          <cell r="E2879" t="str">
            <v>WSH</v>
          </cell>
          <cell r="I2879">
            <v>38</v>
          </cell>
          <cell r="J2879">
            <v>33</v>
          </cell>
          <cell r="L2879">
            <v>0</v>
          </cell>
        </row>
        <row r="2880">
          <cell r="B2880">
            <v>2024</v>
          </cell>
          <cell r="C2880">
            <v>4</v>
          </cell>
          <cell r="E2880" t="str">
            <v>WSH</v>
          </cell>
          <cell r="I2880">
            <v>42</v>
          </cell>
          <cell r="J2880">
            <v>14</v>
          </cell>
          <cell r="L2880">
            <v>0</v>
          </cell>
        </row>
        <row r="2881">
          <cell r="B2881">
            <v>2024</v>
          </cell>
          <cell r="C2881">
            <v>5</v>
          </cell>
          <cell r="E2881" t="str">
            <v>WSH</v>
          </cell>
          <cell r="I2881">
            <v>34</v>
          </cell>
          <cell r="J2881">
            <v>13</v>
          </cell>
          <cell r="L2881">
            <v>0</v>
          </cell>
        </row>
        <row r="2882">
          <cell r="B2882">
            <v>2024</v>
          </cell>
          <cell r="C2882">
            <v>6</v>
          </cell>
          <cell r="E2882" t="str">
            <v>WSH</v>
          </cell>
          <cell r="I2882">
            <v>23</v>
          </cell>
          <cell r="J2882">
            <v>30</v>
          </cell>
          <cell r="L2882">
            <v>0</v>
          </cell>
        </row>
        <row r="2883">
          <cell r="B2883">
            <v>2024</v>
          </cell>
          <cell r="C2883">
            <v>7</v>
          </cell>
          <cell r="E2883" t="str">
            <v>WSH</v>
          </cell>
          <cell r="I2883">
            <v>40</v>
          </cell>
          <cell r="J2883">
            <v>7</v>
          </cell>
          <cell r="L2883">
            <v>0</v>
          </cell>
        </row>
        <row r="2884">
          <cell r="B2884">
            <v>2024</v>
          </cell>
          <cell r="C2884">
            <v>8</v>
          </cell>
          <cell r="E2884" t="str">
            <v>WSH</v>
          </cell>
          <cell r="I2884">
            <v>18</v>
          </cell>
          <cell r="J2884">
            <v>15</v>
          </cell>
          <cell r="L2884">
            <v>0</v>
          </cell>
        </row>
        <row r="2885">
          <cell r="B2885">
            <v>2024</v>
          </cell>
          <cell r="C2885">
            <v>9</v>
          </cell>
          <cell r="E2885" t="str">
            <v>WSH</v>
          </cell>
          <cell r="I2885">
            <v>27</v>
          </cell>
          <cell r="J2885">
            <v>22</v>
          </cell>
          <cell r="L2885">
            <v>0</v>
          </cell>
        </row>
        <row r="2886">
          <cell r="B2886">
            <v>2024</v>
          </cell>
          <cell r="C2886">
            <v>10</v>
          </cell>
          <cell r="E2886" t="str">
            <v>WSH</v>
          </cell>
          <cell r="I2886">
            <v>27</v>
          </cell>
          <cell r="J2886">
            <v>28</v>
          </cell>
          <cell r="L2886">
            <v>0</v>
          </cell>
        </row>
        <row r="2887">
          <cell r="B2887">
            <v>2024</v>
          </cell>
          <cell r="C2887">
            <v>11</v>
          </cell>
          <cell r="E2887" t="str">
            <v>WSH</v>
          </cell>
          <cell r="I2887">
            <v>18</v>
          </cell>
          <cell r="J2887">
            <v>26</v>
          </cell>
          <cell r="L2887">
            <v>0</v>
          </cell>
        </row>
        <row r="2888">
          <cell r="B2888">
            <v>2024</v>
          </cell>
          <cell r="C2888">
            <v>12</v>
          </cell>
          <cell r="E2888" t="str">
            <v>WSH</v>
          </cell>
          <cell r="I2888">
            <v>26</v>
          </cell>
          <cell r="J2888">
            <v>34</v>
          </cell>
          <cell r="L2888">
            <v>0</v>
          </cell>
        </row>
        <row r="2889">
          <cell r="B2889">
            <v>2024</v>
          </cell>
          <cell r="C2889">
            <v>13</v>
          </cell>
          <cell r="E2889" t="str">
            <v>WSH</v>
          </cell>
          <cell r="I2889">
            <v>42</v>
          </cell>
          <cell r="J2889">
            <v>19</v>
          </cell>
          <cell r="L2889">
            <v>0</v>
          </cell>
        </row>
        <row r="2890">
          <cell r="B2890">
            <v>2024</v>
          </cell>
          <cell r="C2890">
            <v>15</v>
          </cell>
          <cell r="E2890" t="str">
            <v>WSH</v>
          </cell>
          <cell r="I2890">
            <v>20</v>
          </cell>
          <cell r="J2890">
            <v>19</v>
          </cell>
          <cell r="L2890">
            <v>0</v>
          </cell>
        </row>
        <row r="2891">
          <cell r="B2891">
            <v>2024</v>
          </cell>
          <cell r="C2891">
            <v>16</v>
          </cell>
          <cell r="E2891" t="str">
            <v>WSH</v>
          </cell>
          <cell r="I2891">
            <v>36</v>
          </cell>
          <cell r="J2891">
            <v>33</v>
          </cell>
          <cell r="L2891">
            <v>0</v>
          </cell>
        </row>
        <row r="2892">
          <cell r="B2892">
            <v>2024</v>
          </cell>
          <cell r="C2892">
            <v>17</v>
          </cell>
          <cell r="E2892" t="str">
            <v>WSH</v>
          </cell>
          <cell r="I2892">
            <v>30</v>
          </cell>
          <cell r="J2892">
            <v>24</v>
          </cell>
          <cell r="L2892">
            <v>0</v>
          </cell>
        </row>
        <row r="2893">
          <cell r="B2893">
            <v>2024</v>
          </cell>
          <cell r="C2893">
            <v>18</v>
          </cell>
          <cell r="E2893" t="str">
            <v>WSH</v>
          </cell>
          <cell r="I2893">
            <v>23</v>
          </cell>
          <cell r="J2893">
            <v>19</v>
          </cell>
          <cell r="L2893">
            <v>0</v>
          </cell>
        </row>
        <row r="2894">
          <cell r="B2894">
            <v>2024</v>
          </cell>
          <cell r="C2894">
            <v>1</v>
          </cell>
          <cell r="E2894" t="str">
            <v>WSH</v>
          </cell>
          <cell r="I2894">
            <v>23</v>
          </cell>
          <cell r="J2894">
            <v>20</v>
          </cell>
          <cell r="L2894">
            <v>1</v>
          </cell>
        </row>
        <row r="2895">
          <cell r="B2895">
            <v>2024</v>
          </cell>
          <cell r="C2895">
            <v>2</v>
          </cell>
          <cell r="E2895" t="str">
            <v>WSH</v>
          </cell>
          <cell r="I2895">
            <v>45</v>
          </cell>
          <cell r="J2895">
            <v>31</v>
          </cell>
          <cell r="L2895">
            <v>1</v>
          </cell>
        </row>
        <row r="2896">
          <cell r="B2896">
            <v>2024</v>
          </cell>
          <cell r="C2896">
            <v>3</v>
          </cell>
          <cell r="E2896" t="str">
            <v>WSH</v>
          </cell>
          <cell r="I2896">
            <v>23</v>
          </cell>
          <cell r="J2896">
            <v>55</v>
          </cell>
          <cell r="L2896">
            <v>1</v>
          </cell>
        </row>
        <row r="2897">
          <cell r="B2897">
            <v>2025</v>
          </cell>
          <cell r="C2897">
            <v>1</v>
          </cell>
          <cell r="E2897" t="str">
            <v>WSH</v>
          </cell>
          <cell r="I2897">
            <v>21</v>
          </cell>
          <cell r="J2897">
            <v>6</v>
          </cell>
          <cell r="L2897">
            <v>0</v>
          </cell>
        </row>
        <row r="2898">
          <cell r="B2898">
            <v>2025</v>
          </cell>
          <cell r="C2898">
            <v>2</v>
          </cell>
          <cell r="E2898" t="str">
            <v>WSH</v>
          </cell>
          <cell r="I2898">
            <v>18</v>
          </cell>
          <cell r="J2898">
            <v>27</v>
          </cell>
          <cell r="L2898">
            <v>0</v>
          </cell>
        </row>
        <row r="2899">
          <cell r="B2899">
            <v>2025</v>
          </cell>
          <cell r="C2899">
            <v>3</v>
          </cell>
          <cell r="E2899" t="str">
            <v>WSH</v>
          </cell>
          <cell r="I2899">
            <v>41</v>
          </cell>
          <cell r="J2899">
            <v>24</v>
          </cell>
          <cell r="L2899">
            <v>0</v>
          </cell>
        </row>
        <row r="2900">
          <cell r="B2900">
            <v>2025</v>
          </cell>
          <cell r="C2900">
            <v>4</v>
          </cell>
          <cell r="E2900" t="str">
            <v>WSH</v>
          </cell>
          <cell r="I2900">
            <v>27</v>
          </cell>
          <cell r="J2900">
            <v>34</v>
          </cell>
          <cell r="L2900">
            <v>0</v>
          </cell>
        </row>
        <row r="2901">
          <cell r="B2901">
            <v>2025</v>
          </cell>
          <cell r="C2901">
            <v>5</v>
          </cell>
          <cell r="E2901" t="str">
            <v>WSH</v>
          </cell>
          <cell r="I2901">
            <v>27</v>
          </cell>
          <cell r="J2901">
            <v>10</v>
          </cell>
          <cell r="L2901">
            <v>0</v>
          </cell>
        </row>
        <row r="2902">
          <cell r="B2902">
            <v>2025</v>
          </cell>
          <cell r="C2902">
            <v>6</v>
          </cell>
          <cell r="E2902" t="str">
            <v>WSH</v>
          </cell>
          <cell r="I2902">
            <v>24</v>
          </cell>
          <cell r="J2902">
            <v>25</v>
          </cell>
          <cell r="L2902">
            <v>0</v>
          </cell>
        </row>
        <row r="2903">
          <cell r="B2903">
            <v>2025</v>
          </cell>
          <cell r="C2903">
            <v>7</v>
          </cell>
          <cell r="E2903" t="str">
            <v>WSH</v>
          </cell>
          <cell r="I2903">
            <v>22</v>
          </cell>
          <cell r="J2903">
            <v>44</v>
          </cell>
          <cell r="L2903">
            <v>0</v>
          </cell>
        </row>
        <row r="2904">
          <cell r="B2904">
            <v>2025</v>
          </cell>
          <cell r="C2904">
            <v>8</v>
          </cell>
          <cell r="E2904" t="str">
            <v>WSH</v>
          </cell>
          <cell r="I2904">
            <v>7</v>
          </cell>
          <cell r="J2904">
            <v>28</v>
          </cell>
          <cell r="L2904">
            <v>0</v>
          </cell>
        </row>
        <row r="2905">
          <cell r="B2905">
            <v>2025</v>
          </cell>
          <cell r="C2905">
            <v>9</v>
          </cell>
          <cell r="E2905" t="str">
            <v>WSH</v>
          </cell>
          <cell r="I2905">
            <v>14</v>
          </cell>
          <cell r="J2905">
            <v>38</v>
          </cell>
          <cell r="L2905">
            <v>0</v>
          </cell>
        </row>
        <row r="2906">
          <cell r="B2906">
            <v>2025</v>
          </cell>
          <cell r="C2906">
            <v>10</v>
          </cell>
          <cell r="E2906" t="str">
            <v>WSH</v>
          </cell>
          <cell r="I2906">
            <v>22</v>
          </cell>
          <cell r="J2906">
            <v>44</v>
          </cell>
          <cell r="L2906">
            <v>0</v>
          </cell>
        </row>
        <row r="2907">
          <cell r="B2907">
            <v>2025</v>
          </cell>
          <cell r="C2907">
            <v>11</v>
          </cell>
          <cell r="E2907" t="str">
            <v>WSH</v>
          </cell>
          <cell r="I2907">
            <v>13</v>
          </cell>
          <cell r="J2907">
            <v>16</v>
          </cell>
          <cell r="L2907">
            <v>0</v>
          </cell>
        </row>
        <row r="2908">
          <cell r="B2908">
            <v>2025</v>
          </cell>
          <cell r="C2908">
            <v>13</v>
          </cell>
          <cell r="E2908" t="str">
            <v>WSH</v>
          </cell>
          <cell r="I2908">
            <v>26</v>
          </cell>
          <cell r="J2908">
            <v>27</v>
          </cell>
          <cell r="L2908">
            <v>0</v>
          </cell>
        </row>
        <row r="2909">
          <cell r="B2909">
            <v>2025</v>
          </cell>
          <cell r="C2909">
            <v>14</v>
          </cell>
          <cell r="E2909" t="str">
            <v>WSH</v>
          </cell>
          <cell r="I2909">
            <v>0</v>
          </cell>
          <cell r="J2909">
            <v>31</v>
          </cell>
          <cell r="L2909">
            <v>0</v>
          </cell>
        </row>
        <row r="2910">
          <cell r="B2910">
            <v>2025</v>
          </cell>
          <cell r="C2910">
            <v>15</v>
          </cell>
          <cell r="E2910" t="str">
            <v>WSH</v>
          </cell>
          <cell r="I2910">
            <v>29</v>
          </cell>
          <cell r="J2910">
            <v>21</v>
          </cell>
          <cell r="L2910">
            <v>0</v>
          </cell>
        </row>
        <row r="2911">
          <cell r="B2911">
            <v>2025</v>
          </cell>
          <cell r="C2911">
            <v>16</v>
          </cell>
          <cell r="E2911" t="str">
            <v>WSH</v>
          </cell>
          <cell r="I2911">
            <v>18</v>
          </cell>
          <cell r="J2911">
            <v>29</v>
          </cell>
          <cell r="L2911">
            <v>0</v>
          </cell>
        </row>
        <row r="2912">
          <cell r="B2912">
            <v>2025</v>
          </cell>
          <cell r="C2912">
            <v>17</v>
          </cell>
          <cell r="E2912" t="str">
            <v>WSH</v>
          </cell>
          <cell r="I2912">
            <v>23</v>
          </cell>
          <cell r="J2912">
            <v>30</v>
          </cell>
          <cell r="L2912">
            <v>0</v>
          </cell>
        </row>
        <row r="2913">
          <cell r="B2913">
            <v>2025</v>
          </cell>
          <cell r="C2913">
            <v>18</v>
          </cell>
          <cell r="E2913" t="str">
            <v>WSH</v>
          </cell>
          <cell r="I2913">
            <v>24</v>
          </cell>
          <cell r="J2913">
            <v>17</v>
          </cell>
          <cell r="L2913">
            <v>0</v>
          </cell>
        </row>
        <row r="2914">
          <cell r="B2914">
            <v>2026</v>
          </cell>
          <cell r="C2914">
            <v>1</v>
          </cell>
          <cell r="E2914" t="str">
            <v>WSH</v>
          </cell>
          <cell r="I2914">
            <v>22</v>
          </cell>
          <cell r="J2914">
            <v>24</v>
          </cell>
          <cell r="L2914">
            <v>0</v>
          </cell>
        </row>
        <row r="2915">
          <cell r="B2915">
            <v>2026</v>
          </cell>
          <cell r="C2915">
            <v>2</v>
          </cell>
          <cell r="E2915" t="str">
            <v>WSH</v>
          </cell>
          <cell r="I2915">
            <v>20</v>
          </cell>
          <cell r="J2915">
            <v>37</v>
          </cell>
          <cell r="L2915">
            <v>0</v>
          </cell>
        </row>
        <row r="2916">
          <cell r="B2916">
            <v>2026</v>
          </cell>
          <cell r="C2916">
            <v>3</v>
          </cell>
          <cell r="E2916" t="str">
            <v>WSH</v>
          </cell>
          <cell r="I2916">
            <v>33</v>
          </cell>
          <cell r="J2916">
            <v>31</v>
          </cell>
          <cell r="L2916">
            <v>0</v>
          </cell>
        </row>
        <row r="2917">
          <cell r="B2917">
            <v>2026</v>
          </cell>
          <cell r="C2917">
            <v>4</v>
          </cell>
          <cell r="E2917" t="str">
            <v>WSH</v>
          </cell>
          <cell r="I2917">
            <v>13</v>
          </cell>
          <cell r="J2917">
            <v>30</v>
          </cell>
          <cell r="L2917">
            <v>0</v>
          </cell>
        </row>
        <row r="2918">
          <cell r="B2918">
            <v>2026</v>
          </cell>
          <cell r="C2918">
            <v>5</v>
          </cell>
          <cell r="E2918" t="str">
            <v>WSH</v>
          </cell>
          <cell r="I2918">
            <v>27</v>
          </cell>
          <cell r="J2918">
            <v>27</v>
          </cell>
          <cell r="L2918">
            <v>0</v>
          </cell>
        </row>
        <row r="2919">
          <cell r="B2919">
            <v>2026</v>
          </cell>
          <cell r="C2919">
            <v>6</v>
          </cell>
          <cell r="E2919" t="str">
            <v>WSH</v>
          </cell>
          <cell r="I2919">
            <v>17</v>
          </cell>
          <cell r="J2919">
            <v>23</v>
          </cell>
          <cell r="L2919">
            <v>0</v>
          </cell>
        </row>
        <row r="2920">
          <cell r="B2920">
            <v>2018</v>
          </cell>
          <cell r="C2920">
            <v>1</v>
          </cell>
          <cell r="E2920" t="str">
            <v>GB</v>
          </cell>
          <cell r="I2920">
            <v>24</v>
          </cell>
          <cell r="J2920">
            <v>23</v>
          </cell>
          <cell r="L2920">
            <v>0</v>
          </cell>
        </row>
        <row r="2921">
          <cell r="B2921">
            <v>2018</v>
          </cell>
          <cell r="C2921">
            <v>2</v>
          </cell>
          <cell r="E2921" t="str">
            <v>GB</v>
          </cell>
          <cell r="I2921">
            <v>29</v>
          </cell>
          <cell r="J2921">
            <v>29</v>
          </cell>
          <cell r="L2921">
            <v>0</v>
          </cell>
        </row>
        <row r="2922">
          <cell r="B2922">
            <v>2018</v>
          </cell>
          <cell r="C2922">
            <v>3</v>
          </cell>
          <cell r="E2922" t="str">
            <v>GB</v>
          </cell>
          <cell r="I2922">
            <v>17</v>
          </cell>
          <cell r="J2922">
            <v>31</v>
          </cell>
          <cell r="L2922">
            <v>0</v>
          </cell>
        </row>
        <row r="2923">
          <cell r="B2923">
            <v>2018</v>
          </cell>
          <cell r="C2923">
            <v>4</v>
          </cell>
          <cell r="E2923" t="str">
            <v>GB</v>
          </cell>
          <cell r="I2923">
            <v>22</v>
          </cell>
          <cell r="J2923">
            <v>0</v>
          </cell>
          <cell r="L2923">
            <v>0</v>
          </cell>
        </row>
        <row r="2924">
          <cell r="B2924">
            <v>2018</v>
          </cell>
          <cell r="C2924">
            <v>5</v>
          </cell>
          <cell r="E2924" t="str">
            <v>GB</v>
          </cell>
          <cell r="I2924">
            <v>23</v>
          </cell>
          <cell r="J2924">
            <v>31</v>
          </cell>
          <cell r="L2924">
            <v>0</v>
          </cell>
        </row>
        <row r="2925">
          <cell r="B2925">
            <v>2018</v>
          </cell>
          <cell r="C2925">
            <v>6</v>
          </cell>
          <cell r="E2925" t="str">
            <v>GB</v>
          </cell>
          <cell r="I2925">
            <v>33</v>
          </cell>
          <cell r="J2925">
            <v>30</v>
          </cell>
          <cell r="L2925">
            <v>0</v>
          </cell>
        </row>
        <row r="2926">
          <cell r="B2926">
            <v>2018</v>
          </cell>
          <cell r="C2926">
            <v>8</v>
          </cell>
          <cell r="E2926" t="str">
            <v>GB</v>
          </cell>
          <cell r="I2926">
            <v>27</v>
          </cell>
          <cell r="J2926">
            <v>29</v>
          </cell>
          <cell r="L2926">
            <v>0</v>
          </cell>
        </row>
        <row r="2927">
          <cell r="B2927">
            <v>2018</v>
          </cell>
          <cell r="C2927">
            <v>9</v>
          </cell>
          <cell r="E2927" t="str">
            <v>GB</v>
          </cell>
          <cell r="I2927">
            <v>17</v>
          </cell>
          <cell r="J2927">
            <v>31</v>
          </cell>
          <cell r="L2927">
            <v>0</v>
          </cell>
        </row>
        <row r="2928">
          <cell r="B2928">
            <v>2018</v>
          </cell>
          <cell r="C2928">
            <v>10</v>
          </cell>
          <cell r="E2928" t="str">
            <v>GB</v>
          </cell>
          <cell r="I2928">
            <v>31</v>
          </cell>
          <cell r="J2928">
            <v>12</v>
          </cell>
          <cell r="L2928">
            <v>0</v>
          </cell>
        </row>
        <row r="2929">
          <cell r="B2929">
            <v>2018</v>
          </cell>
          <cell r="C2929">
            <v>11</v>
          </cell>
          <cell r="E2929" t="str">
            <v>GB</v>
          </cell>
          <cell r="I2929">
            <v>24</v>
          </cell>
          <cell r="J2929">
            <v>27</v>
          </cell>
          <cell r="L2929">
            <v>0</v>
          </cell>
        </row>
        <row r="2930">
          <cell r="B2930">
            <v>2018</v>
          </cell>
          <cell r="C2930">
            <v>12</v>
          </cell>
          <cell r="E2930" t="str">
            <v>GB</v>
          </cell>
          <cell r="I2930">
            <v>17</v>
          </cell>
          <cell r="J2930">
            <v>24</v>
          </cell>
          <cell r="L2930">
            <v>0</v>
          </cell>
        </row>
        <row r="2931">
          <cell r="B2931">
            <v>2018</v>
          </cell>
          <cell r="C2931">
            <v>13</v>
          </cell>
          <cell r="E2931" t="str">
            <v>GB</v>
          </cell>
          <cell r="I2931">
            <v>17</v>
          </cell>
          <cell r="J2931">
            <v>20</v>
          </cell>
          <cell r="L2931">
            <v>0</v>
          </cell>
        </row>
        <row r="2932">
          <cell r="B2932">
            <v>2018</v>
          </cell>
          <cell r="C2932">
            <v>14</v>
          </cell>
          <cell r="E2932" t="str">
            <v>GB</v>
          </cell>
          <cell r="I2932">
            <v>34</v>
          </cell>
          <cell r="J2932">
            <v>20</v>
          </cell>
          <cell r="L2932">
            <v>0</v>
          </cell>
        </row>
        <row r="2933">
          <cell r="B2933">
            <v>2018</v>
          </cell>
          <cell r="C2933">
            <v>15</v>
          </cell>
          <cell r="E2933" t="str">
            <v>GB</v>
          </cell>
          <cell r="I2933">
            <v>17</v>
          </cell>
          <cell r="J2933">
            <v>24</v>
          </cell>
          <cell r="L2933">
            <v>0</v>
          </cell>
        </row>
        <row r="2934">
          <cell r="B2934">
            <v>2018</v>
          </cell>
          <cell r="C2934">
            <v>16</v>
          </cell>
          <cell r="E2934" t="str">
            <v>GB</v>
          </cell>
          <cell r="I2934">
            <v>44</v>
          </cell>
          <cell r="J2934">
            <v>38</v>
          </cell>
          <cell r="L2934">
            <v>0</v>
          </cell>
        </row>
        <row r="2935">
          <cell r="B2935">
            <v>2018</v>
          </cell>
          <cell r="C2935">
            <v>17</v>
          </cell>
          <cell r="E2935" t="str">
            <v>GB</v>
          </cell>
          <cell r="I2935">
            <v>0</v>
          </cell>
          <cell r="J2935">
            <v>31</v>
          </cell>
          <cell r="L2935">
            <v>0</v>
          </cell>
        </row>
        <row r="2936">
          <cell r="B2936">
            <v>2019</v>
          </cell>
          <cell r="C2936">
            <v>1</v>
          </cell>
          <cell r="E2936" t="str">
            <v>GB</v>
          </cell>
          <cell r="I2936">
            <v>10</v>
          </cell>
          <cell r="J2936">
            <v>3</v>
          </cell>
          <cell r="L2936">
            <v>0</v>
          </cell>
        </row>
        <row r="2937">
          <cell r="B2937">
            <v>2019</v>
          </cell>
          <cell r="C2937">
            <v>2</v>
          </cell>
          <cell r="E2937" t="str">
            <v>GB</v>
          </cell>
          <cell r="I2937">
            <v>21</v>
          </cell>
          <cell r="J2937">
            <v>16</v>
          </cell>
          <cell r="L2937">
            <v>0</v>
          </cell>
        </row>
        <row r="2938">
          <cell r="B2938">
            <v>2019</v>
          </cell>
          <cell r="C2938">
            <v>3</v>
          </cell>
          <cell r="E2938" t="str">
            <v>GB</v>
          </cell>
          <cell r="I2938">
            <v>27</v>
          </cell>
          <cell r="J2938">
            <v>16</v>
          </cell>
          <cell r="L2938">
            <v>0</v>
          </cell>
        </row>
        <row r="2939">
          <cell r="B2939">
            <v>2019</v>
          </cell>
          <cell r="C2939">
            <v>4</v>
          </cell>
          <cell r="E2939" t="str">
            <v>GB</v>
          </cell>
          <cell r="I2939">
            <v>27</v>
          </cell>
          <cell r="J2939">
            <v>34</v>
          </cell>
          <cell r="L2939">
            <v>0</v>
          </cell>
        </row>
        <row r="2940">
          <cell r="B2940">
            <v>2019</v>
          </cell>
          <cell r="C2940">
            <v>5</v>
          </cell>
          <cell r="E2940" t="str">
            <v>GB</v>
          </cell>
          <cell r="I2940">
            <v>34</v>
          </cell>
          <cell r="J2940">
            <v>24</v>
          </cell>
          <cell r="L2940">
            <v>0</v>
          </cell>
        </row>
        <row r="2941">
          <cell r="B2941">
            <v>2019</v>
          </cell>
          <cell r="C2941">
            <v>6</v>
          </cell>
          <cell r="E2941" t="str">
            <v>GB</v>
          </cell>
          <cell r="I2941">
            <v>23</v>
          </cell>
          <cell r="J2941">
            <v>22</v>
          </cell>
          <cell r="L2941">
            <v>0</v>
          </cell>
        </row>
        <row r="2942">
          <cell r="B2942">
            <v>2019</v>
          </cell>
          <cell r="C2942">
            <v>7</v>
          </cell>
          <cell r="E2942" t="str">
            <v>GB</v>
          </cell>
          <cell r="I2942">
            <v>42</v>
          </cell>
          <cell r="J2942">
            <v>24</v>
          </cell>
          <cell r="L2942">
            <v>0</v>
          </cell>
        </row>
        <row r="2943">
          <cell r="B2943">
            <v>2019</v>
          </cell>
          <cell r="C2943">
            <v>8</v>
          </cell>
          <cell r="E2943" t="str">
            <v>GB</v>
          </cell>
          <cell r="I2943">
            <v>31</v>
          </cell>
          <cell r="J2943">
            <v>24</v>
          </cell>
          <cell r="L2943">
            <v>0</v>
          </cell>
        </row>
        <row r="2944">
          <cell r="B2944">
            <v>2019</v>
          </cell>
          <cell r="C2944">
            <v>9</v>
          </cell>
          <cell r="E2944" t="str">
            <v>GB</v>
          </cell>
          <cell r="I2944">
            <v>11</v>
          </cell>
          <cell r="J2944">
            <v>26</v>
          </cell>
          <cell r="L2944">
            <v>0</v>
          </cell>
        </row>
        <row r="2945">
          <cell r="B2945">
            <v>2019</v>
          </cell>
          <cell r="C2945">
            <v>10</v>
          </cell>
          <cell r="E2945" t="str">
            <v>GB</v>
          </cell>
          <cell r="I2945">
            <v>24</v>
          </cell>
          <cell r="J2945">
            <v>16</v>
          </cell>
          <cell r="L2945">
            <v>0</v>
          </cell>
        </row>
        <row r="2946">
          <cell r="B2946">
            <v>2019</v>
          </cell>
          <cell r="C2946">
            <v>12</v>
          </cell>
          <cell r="E2946" t="str">
            <v>GB</v>
          </cell>
          <cell r="I2946">
            <v>8</v>
          </cell>
          <cell r="J2946">
            <v>37</v>
          </cell>
          <cell r="L2946">
            <v>0</v>
          </cell>
        </row>
        <row r="2947">
          <cell r="B2947">
            <v>2019</v>
          </cell>
          <cell r="C2947">
            <v>13</v>
          </cell>
          <cell r="E2947" t="str">
            <v>GB</v>
          </cell>
          <cell r="I2947">
            <v>31</v>
          </cell>
          <cell r="J2947">
            <v>13</v>
          </cell>
          <cell r="L2947">
            <v>0</v>
          </cell>
        </row>
        <row r="2948">
          <cell r="B2948">
            <v>2019</v>
          </cell>
          <cell r="C2948">
            <v>14</v>
          </cell>
          <cell r="E2948" t="str">
            <v>GB</v>
          </cell>
          <cell r="I2948">
            <v>20</v>
          </cell>
          <cell r="J2948">
            <v>15</v>
          </cell>
          <cell r="L2948">
            <v>0</v>
          </cell>
        </row>
        <row r="2949">
          <cell r="B2949">
            <v>2019</v>
          </cell>
          <cell r="C2949">
            <v>15</v>
          </cell>
          <cell r="E2949" t="str">
            <v>GB</v>
          </cell>
          <cell r="I2949">
            <v>21</v>
          </cell>
          <cell r="J2949">
            <v>13</v>
          </cell>
          <cell r="L2949">
            <v>0</v>
          </cell>
        </row>
        <row r="2950">
          <cell r="B2950">
            <v>2019</v>
          </cell>
          <cell r="C2950">
            <v>16</v>
          </cell>
          <cell r="E2950" t="str">
            <v>GB</v>
          </cell>
          <cell r="I2950">
            <v>23</v>
          </cell>
          <cell r="J2950">
            <v>10</v>
          </cell>
          <cell r="L2950">
            <v>0</v>
          </cell>
        </row>
        <row r="2951">
          <cell r="B2951">
            <v>2019</v>
          </cell>
          <cell r="C2951">
            <v>17</v>
          </cell>
          <cell r="E2951" t="str">
            <v>GB</v>
          </cell>
          <cell r="I2951">
            <v>23</v>
          </cell>
          <cell r="J2951">
            <v>20</v>
          </cell>
          <cell r="L2951">
            <v>0</v>
          </cell>
        </row>
        <row r="2952">
          <cell r="B2952">
            <v>2019</v>
          </cell>
          <cell r="C2952">
            <v>2</v>
          </cell>
          <cell r="E2952" t="str">
            <v>GB</v>
          </cell>
          <cell r="I2952">
            <v>28</v>
          </cell>
          <cell r="J2952">
            <v>23</v>
          </cell>
          <cell r="L2952">
            <v>1</v>
          </cell>
        </row>
        <row r="2953">
          <cell r="B2953">
            <v>2019</v>
          </cell>
          <cell r="C2953">
            <v>3</v>
          </cell>
          <cell r="E2953" t="str">
            <v>GB</v>
          </cell>
          <cell r="I2953">
            <v>20</v>
          </cell>
          <cell r="J2953">
            <v>37</v>
          </cell>
          <cell r="L2953">
            <v>1</v>
          </cell>
        </row>
        <row r="2954">
          <cell r="B2954">
            <v>2020</v>
          </cell>
          <cell r="C2954">
            <v>1</v>
          </cell>
          <cell r="E2954" t="str">
            <v>GB</v>
          </cell>
          <cell r="I2954">
            <v>43</v>
          </cell>
          <cell r="J2954">
            <v>34</v>
          </cell>
          <cell r="L2954">
            <v>0</v>
          </cell>
        </row>
        <row r="2955">
          <cell r="B2955">
            <v>2020</v>
          </cell>
          <cell r="C2955">
            <v>2</v>
          </cell>
          <cell r="E2955" t="str">
            <v>GB</v>
          </cell>
          <cell r="I2955">
            <v>42</v>
          </cell>
          <cell r="J2955">
            <v>21</v>
          </cell>
          <cell r="L2955">
            <v>0</v>
          </cell>
        </row>
        <row r="2956">
          <cell r="B2956">
            <v>2020</v>
          </cell>
          <cell r="C2956">
            <v>3</v>
          </cell>
          <cell r="E2956" t="str">
            <v>GB</v>
          </cell>
          <cell r="I2956">
            <v>37</v>
          </cell>
          <cell r="J2956">
            <v>30</v>
          </cell>
          <cell r="L2956">
            <v>0</v>
          </cell>
        </row>
        <row r="2957">
          <cell r="B2957">
            <v>2020</v>
          </cell>
          <cell r="C2957">
            <v>4</v>
          </cell>
          <cell r="E2957" t="str">
            <v>GB</v>
          </cell>
          <cell r="I2957">
            <v>30</v>
          </cell>
          <cell r="J2957">
            <v>16</v>
          </cell>
          <cell r="L2957">
            <v>0</v>
          </cell>
        </row>
        <row r="2958">
          <cell r="B2958">
            <v>2020</v>
          </cell>
          <cell r="C2958">
            <v>6</v>
          </cell>
          <cell r="E2958" t="str">
            <v>GB</v>
          </cell>
          <cell r="I2958">
            <v>10</v>
          </cell>
          <cell r="J2958">
            <v>38</v>
          </cell>
          <cell r="L2958">
            <v>0</v>
          </cell>
        </row>
        <row r="2959">
          <cell r="B2959">
            <v>2020</v>
          </cell>
          <cell r="C2959">
            <v>7</v>
          </cell>
          <cell r="E2959" t="str">
            <v>GB</v>
          </cell>
          <cell r="I2959">
            <v>35</v>
          </cell>
          <cell r="J2959">
            <v>20</v>
          </cell>
          <cell r="L2959">
            <v>0</v>
          </cell>
        </row>
        <row r="2960">
          <cell r="B2960">
            <v>2020</v>
          </cell>
          <cell r="C2960">
            <v>8</v>
          </cell>
          <cell r="E2960" t="str">
            <v>GB</v>
          </cell>
          <cell r="I2960">
            <v>22</v>
          </cell>
          <cell r="J2960">
            <v>28</v>
          </cell>
          <cell r="L2960">
            <v>0</v>
          </cell>
        </row>
        <row r="2961">
          <cell r="B2961">
            <v>2020</v>
          </cell>
          <cell r="C2961">
            <v>9</v>
          </cell>
          <cell r="E2961" t="str">
            <v>GB</v>
          </cell>
          <cell r="I2961">
            <v>34</v>
          </cell>
          <cell r="J2961">
            <v>17</v>
          </cell>
          <cell r="L2961">
            <v>0</v>
          </cell>
        </row>
        <row r="2962">
          <cell r="B2962">
            <v>2020</v>
          </cell>
          <cell r="C2962">
            <v>10</v>
          </cell>
          <cell r="E2962" t="str">
            <v>GB</v>
          </cell>
          <cell r="I2962">
            <v>24</v>
          </cell>
          <cell r="J2962">
            <v>20</v>
          </cell>
          <cell r="L2962">
            <v>0</v>
          </cell>
        </row>
        <row r="2963">
          <cell r="B2963">
            <v>2020</v>
          </cell>
          <cell r="C2963">
            <v>11</v>
          </cell>
          <cell r="E2963" t="str">
            <v>GB</v>
          </cell>
          <cell r="I2963">
            <v>31</v>
          </cell>
          <cell r="J2963">
            <v>34</v>
          </cell>
          <cell r="L2963">
            <v>0</v>
          </cell>
        </row>
        <row r="2964">
          <cell r="B2964">
            <v>2020</v>
          </cell>
          <cell r="C2964">
            <v>12</v>
          </cell>
          <cell r="E2964" t="str">
            <v>GB</v>
          </cell>
          <cell r="I2964">
            <v>41</v>
          </cell>
          <cell r="J2964">
            <v>25</v>
          </cell>
          <cell r="L2964">
            <v>0</v>
          </cell>
        </row>
        <row r="2965">
          <cell r="B2965">
            <v>2020</v>
          </cell>
          <cell r="C2965">
            <v>13</v>
          </cell>
          <cell r="E2965" t="str">
            <v>GB</v>
          </cell>
          <cell r="I2965">
            <v>30</v>
          </cell>
          <cell r="J2965">
            <v>16</v>
          </cell>
          <cell r="L2965">
            <v>0</v>
          </cell>
        </row>
        <row r="2966">
          <cell r="B2966">
            <v>2020</v>
          </cell>
          <cell r="C2966">
            <v>14</v>
          </cell>
          <cell r="E2966" t="str">
            <v>GB</v>
          </cell>
          <cell r="I2966">
            <v>31</v>
          </cell>
          <cell r="J2966">
            <v>24</v>
          </cell>
          <cell r="L2966">
            <v>0</v>
          </cell>
        </row>
        <row r="2967">
          <cell r="B2967">
            <v>2020</v>
          </cell>
          <cell r="C2967">
            <v>15</v>
          </cell>
          <cell r="E2967" t="str">
            <v>GB</v>
          </cell>
          <cell r="I2967">
            <v>24</v>
          </cell>
          <cell r="J2967">
            <v>16</v>
          </cell>
          <cell r="L2967">
            <v>0</v>
          </cell>
        </row>
        <row r="2968">
          <cell r="B2968">
            <v>2020</v>
          </cell>
          <cell r="C2968">
            <v>16</v>
          </cell>
          <cell r="E2968" t="str">
            <v>GB</v>
          </cell>
          <cell r="I2968">
            <v>40</v>
          </cell>
          <cell r="J2968">
            <v>14</v>
          </cell>
          <cell r="L2968">
            <v>0</v>
          </cell>
        </row>
        <row r="2969">
          <cell r="B2969">
            <v>2020</v>
          </cell>
          <cell r="C2969">
            <v>17</v>
          </cell>
          <cell r="E2969" t="str">
            <v>GB</v>
          </cell>
          <cell r="I2969">
            <v>35</v>
          </cell>
          <cell r="J2969">
            <v>16</v>
          </cell>
          <cell r="L2969">
            <v>0</v>
          </cell>
        </row>
        <row r="2970">
          <cell r="B2970">
            <v>2020</v>
          </cell>
          <cell r="C2970">
            <v>2</v>
          </cell>
          <cell r="E2970" t="str">
            <v>GB</v>
          </cell>
          <cell r="I2970">
            <v>32</v>
          </cell>
          <cell r="J2970">
            <v>18</v>
          </cell>
          <cell r="L2970">
            <v>1</v>
          </cell>
        </row>
        <row r="2971">
          <cell r="B2971">
            <v>2020</v>
          </cell>
          <cell r="C2971">
            <v>3</v>
          </cell>
          <cell r="E2971" t="str">
            <v>GB</v>
          </cell>
          <cell r="I2971">
            <v>26</v>
          </cell>
          <cell r="J2971">
            <v>31</v>
          </cell>
          <cell r="L2971">
            <v>1</v>
          </cell>
        </row>
        <row r="2972">
          <cell r="B2972">
            <v>2021</v>
          </cell>
          <cell r="C2972">
            <v>1</v>
          </cell>
          <cell r="E2972" t="str">
            <v>GB</v>
          </cell>
          <cell r="I2972">
            <v>3</v>
          </cell>
          <cell r="J2972">
            <v>38</v>
          </cell>
          <cell r="L2972">
            <v>0</v>
          </cell>
        </row>
        <row r="2973">
          <cell r="B2973">
            <v>2021</v>
          </cell>
          <cell r="C2973">
            <v>2</v>
          </cell>
          <cell r="E2973" t="str">
            <v>GB</v>
          </cell>
          <cell r="I2973">
            <v>35</v>
          </cell>
          <cell r="J2973">
            <v>17</v>
          </cell>
          <cell r="L2973">
            <v>0</v>
          </cell>
        </row>
        <row r="2974">
          <cell r="B2974">
            <v>2021</v>
          </cell>
          <cell r="C2974">
            <v>3</v>
          </cell>
          <cell r="E2974" t="str">
            <v>GB</v>
          </cell>
          <cell r="I2974">
            <v>30</v>
          </cell>
          <cell r="J2974">
            <v>28</v>
          </cell>
          <cell r="L2974">
            <v>0</v>
          </cell>
        </row>
        <row r="2975">
          <cell r="B2975">
            <v>2021</v>
          </cell>
          <cell r="C2975">
            <v>4</v>
          </cell>
          <cell r="E2975" t="str">
            <v>GB</v>
          </cell>
          <cell r="I2975">
            <v>27</v>
          </cell>
          <cell r="J2975">
            <v>17</v>
          </cell>
          <cell r="L2975">
            <v>0</v>
          </cell>
        </row>
        <row r="2976">
          <cell r="B2976">
            <v>2021</v>
          </cell>
          <cell r="C2976">
            <v>5</v>
          </cell>
          <cell r="E2976" t="str">
            <v>GB</v>
          </cell>
          <cell r="I2976">
            <v>25</v>
          </cell>
          <cell r="J2976">
            <v>22</v>
          </cell>
          <cell r="L2976">
            <v>0</v>
          </cell>
        </row>
        <row r="2977">
          <cell r="B2977">
            <v>2021</v>
          </cell>
          <cell r="C2977">
            <v>6</v>
          </cell>
          <cell r="E2977" t="str">
            <v>GB</v>
          </cell>
          <cell r="I2977">
            <v>24</v>
          </cell>
          <cell r="J2977">
            <v>14</v>
          </cell>
          <cell r="L2977">
            <v>0</v>
          </cell>
        </row>
        <row r="2978">
          <cell r="B2978">
            <v>2021</v>
          </cell>
          <cell r="C2978">
            <v>7</v>
          </cell>
          <cell r="E2978" t="str">
            <v>GB</v>
          </cell>
          <cell r="I2978">
            <v>24</v>
          </cell>
          <cell r="J2978">
            <v>10</v>
          </cell>
          <cell r="L2978">
            <v>0</v>
          </cell>
        </row>
        <row r="2979">
          <cell r="B2979">
            <v>2021</v>
          </cell>
          <cell r="C2979">
            <v>8</v>
          </cell>
          <cell r="E2979" t="str">
            <v>GB</v>
          </cell>
          <cell r="I2979">
            <v>24</v>
          </cell>
          <cell r="J2979">
            <v>21</v>
          </cell>
          <cell r="L2979">
            <v>0</v>
          </cell>
        </row>
        <row r="2980">
          <cell r="B2980">
            <v>2021</v>
          </cell>
          <cell r="C2980">
            <v>9</v>
          </cell>
          <cell r="E2980" t="str">
            <v>GB</v>
          </cell>
          <cell r="I2980">
            <v>7</v>
          </cell>
          <cell r="J2980">
            <v>13</v>
          </cell>
          <cell r="L2980">
            <v>0</v>
          </cell>
        </row>
        <row r="2981">
          <cell r="B2981">
            <v>2021</v>
          </cell>
          <cell r="C2981">
            <v>10</v>
          </cell>
          <cell r="E2981" t="str">
            <v>GB</v>
          </cell>
          <cell r="I2981">
            <v>17</v>
          </cell>
          <cell r="J2981">
            <v>0</v>
          </cell>
          <cell r="L2981">
            <v>0</v>
          </cell>
        </row>
        <row r="2982">
          <cell r="B2982">
            <v>2021</v>
          </cell>
          <cell r="C2982">
            <v>11</v>
          </cell>
          <cell r="E2982" t="str">
            <v>GB</v>
          </cell>
          <cell r="I2982">
            <v>31</v>
          </cell>
          <cell r="J2982">
            <v>34</v>
          </cell>
          <cell r="L2982">
            <v>0</v>
          </cell>
        </row>
        <row r="2983">
          <cell r="B2983">
            <v>2021</v>
          </cell>
          <cell r="C2983">
            <v>12</v>
          </cell>
          <cell r="E2983" t="str">
            <v>GB</v>
          </cell>
          <cell r="I2983">
            <v>36</v>
          </cell>
          <cell r="J2983">
            <v>28</v>
          </cell>
          <cell r="L2983">
            <v>0</v>
          </cell>
        </row>
        <row r="2984">
          <cell r="B2984">
            <v>2021</v>
          </cell>
          <cell r="C2984">
            <v>14</v>
          </cell>
          <cell r="E2984" t="str">
            <v>GB</v>
          </cell>
          <cell r="I2984">
            <v>45</v>
          </cell>
          <cell r="J2984">
            <v>30</v>
          </cell>
          <cell r="L2984">
            <v>0</v>
          </cell>
        </row>
        <row r="2985">
          <cell r="B2985">
            <v>2021</v>
          </cell>
          <cell r="C2985">
            <v>15</v>
          </cell>
          <cell r="E2985" t="str">
            <v>GB</v>
          </cell>
          <cell r="I2985">
            <v>31</v>
          </cell>
          <cell r="J2985">
            <v>30</v>
          </cell>
          <cell r="L2985">
            <v>0</v>
          </cell>
        </row>
        <row r="2986">
          <cell r="B2986">
            <v>2021</v>
          </cell>
          <cell r="C2986">
            <v>16</v>
          </cell>
          <cell r="E2986" t="str">
            <v>GB</v>
          </cell>
          <cell r="I2986">
            <v>24</v>
          </cell>
          <cell r="J2986">
            <v>22</v>
          </cell>
          <cell r="L2986">
            <v>0</v>
          </cell>
        </row>
        <row r="2987">
          <cell r="B2987">
            <v>2021</v>
          </cell>
          <cell r="C2987">
            <v>17</v>
          </cell>
          <cell r="E2987" t="str">
            <v>GB</v>
          </cell>
          <cell r="I2987">
            <v>37</v>
          </cell>
          <cell r="J2987">
            <v>10</v>
          </cell>
          <cell r="L2987">
            <v>0</v>
          </cell>
        </row>
        <row r="2988">
          <cell r="B2988">
            <v>2021</v>
          </cell>
          <cell r="C2988">
            <v>18</v>
          </cell>
          <cell r="E2988" t="str">
            <v>GB</v>
          </cell>
          <cell r="I2988">
            <v>30</v>
          </cell>
          <cell r="J2988">
            <v>37</v>
          </cell>
          <cell r="L2988">
            <v>0</v>
          </cell>
        </row>
        <row r="2989">
          <cell r="B2989">
            <v>2021</v>
          </cell>
          <cell r="C2989">
            <v>2</v>
          </cell>
          <cell r="E2989" t="str">
            <v>GB</v>
          </cell>
          <cell r="I2989">
            <v>10</v>
          </cell>
          <cell r="J2989">
            <v>13</v>
          </cell>
          <cell r="L2989">
            <v>1</v>
          </cell>
        </row>
        <row r="2990">
          <cell r="B2990">
            <v>2022</v>
          </cell>
          <cell r="C2990">
            <v>1</v>
          </cell>
          <cell r="E2990" t="str">
            <v>GB</v>
          </cell>
          <cell r="I2990">
            <v>7</v>
          </cell>
          <cell r="J2990">
            <v>23</v>
          </cell>
          <cell r="L2990">
            <v>0</v>
          </cell>
        </row>
        <row r="2991">
          <cell r="B2991">
            <v>2022</v>
          </cell>
          <cell r="C2991">
            <v>2</v>
          </cell>
          <cell r="E2991" t="str">
            <v>GB</v>
          </cell>
          <cell r="I2991">
            <v>27</v>
          </cell>
          <cell r="J2991">
            <v>10</v>
          </cell>
          <cell r="L2991">
            <v>0</v>
          </cell>
        </row>
        <row r="2992">
          <cell r="B2992">
            <v>2022</v>
          </cell>
          <cell r="C2992">
            <v>3</v>
          </cell>
          <cell r="E2992" t="str">
            <v>GB</v>
          </cell>
          <cell r="I2992">
            <v>14</v>
          </cell>
          <cell r="J2992">
            <v>12</v>
          </cell>
          <cell r="L2992">
            <v>0</v>
          </cell>
        </row>
        <row r="2993">
          <cell r="B2993">
            <v>2022</v>
          </cell>
          <cell r="C2993">
            <v>4</v>
          </cell>
          <cell r="E2993" t="str">
            <v>GB</v>
          </cell>
          <cell r="I2993">
            <v>27</v>
          </cell>
          <cell r="J2993">
            <v>24</v>
          </cell>
          <cell r="L2993">
            <v>0</v>
          </cell>
        </row>
        <row r="2994">
          <cell r="B2994">
            <v>2022</v>
          </cell>
          <cell r="C2994">
            <v>5</v>
          </cell>
          <cell r="E2994" t="str">
            <v>GB</v>
          </cell>
          <cell r="I2994">
            <v>22</v>
          </cell>
          <cell r="J2994">
            <v>27</v>
          </cell>
          <cell r="L2994">
            <v>0</v>
          </cell>
        </row>
        <row r="2995">
          <cell r="B2995">
            <v>2022</v>
          </cell>
          <cell r="C2995">
            <v>6</v>
          </cell>
          <cell r="E2995" t="str">
            <v>GB</v>
          </cell>
          <cell r="I2995">
            <v>10</v>
          </cell>
          <cell r="J2995">
            <v>27</v>
          </cell>
          <cell r="L2995">
            <v>0</v>
          </cell>
        </row>
        <row r="2996">
          <cell r="B2996">
            <v>2022</v>
          </cell>
          <cell r="C2996">
            <v>7</v>
          </cell>
          <cell r="E2996" t="str">
            <v>GB</v>
          </cell>
          <cell r="I2996">
            <v>21</v>
          </cell>
          <cell r="J2996">
            <v>23</v>
          </cell>
          <cell r="L2996">
            <v>0</v>
          </cell>
        </row>
        <row r="2997">
          <cell r="B2997">
            <v>2022</v>
          </cell>
          <cell r="C2997">
            <v>8</v>
          </cell>
          <cell r="E2997" t="str">
            <v>GB</v>
          </cell>
          <cell r="I2997">
            <v>17</v>
          </cell>
          <cell r="J2997">
            <v>27</v>
          </cell>
          <cell r="L2997">
            <v>0</v>
          </cell>
        </row>
        <row r="2998">
          <cell r="B2998">
            <v>2022</v>
          </cell>
          <cell r="C2998">
            <v>9</v>
          </cell>
          <cell r="E2998" t="str">
            <v>GB</v>
          </cell>
          <cell r="I2998">
            <v>9</v>
          </cell>
          <cell r="J2998">
            <v>15</v>
          </cell>
          <cell r="L2998">
            <v>0</v>
          </cell>
        </row>
        <row r="2999">
          <cell r="B2999">
            <v>2022</v>
          </cell>
          <cell r="C2999">
            <v>10</v>
          </cell>
          <cell r="E2999" t="str">
            <v>GB</v>
          </cell>
          <cell r="I2999">
            <v>31</v>
          </cell>
          <cell r="J2999">
            <v>28</v>
          </cell>
          <cell r="L2999">
            <v>0</v>
          </cell>
        </row>
        <row r="3000">
          <cell r="B3000">
            <v>2022</v>
          </cell>
          <cell r="C3000">
            <v>11</v>
          </cell>
          <cell r="E3000" t="str">
            <v>GB</v>
          </cell>
          <cell r="I3000">
            <v>17</v>
          </cell>
          <cell r="J3000">
            <v>27</v>
          </cell>
          <cell r="L3000">
            <v>0</v>
          </cell>
        </row>
        <row r="3001">
          <cell r="B3001">
            <v>2022</v>
          </cell>
          <cell r="C3001">
            <v>12</v>
          </cell>
          <cell r="E3001" t="str">
            <v>GB</v>
          </cell>
          <cell r="I3001">
            <v>33</v>
          </cell>
          <cell r="J3001">
            <v>40</v>
          </cell>
          <cell r="L3001">
            <v>0</v>
          </cell>
        </row>
        <row r="3002">
          <cell r="B3002">
            <v>2022</v>
          </cell>
          <cell r="C3002">
            <v>13</v>
          </cell>
          <cell r="E3002" t="str">
            <v>GB</v>
          </cell>
          <cell r="I3002">
            <v>28</v>
          </cell>
          <cell r="J3002">
            <v>19</v>
          </cell>
          <cell r="L3002">
            <v>0</v>
          </cell>
        </row>
        <row r="3003">
          <cell r="B3003">
            <v>2022</v>
          </cell>
          <cell r="C3003">
            <v>15</v>
          </cell>
          <cell r="E3003" t="str">
            <v>GB</v>
          </cell>
          <cell r="I3003">
            <v>24</v>
          </cell>
          <cell r="J3003">
            <v>12</v>
          </cell>
          <cell r="L3003">
            <v>0</v>
          </cell>
        </row>
        <row r="3004">
          <cell r="B3004">
            <v>2022</v>
          </cell>
          <cell r="C3004">
            <v>16</v>
          </cell>
          <cell r="E3004" t="str">
            <v>GB</v>
          </cell>
          <cell r="I3004">
            <v>26</v>
          </cell>
          <cell r="J3004">
            <v>20</v>
          </cell>
          <cell r="L3004">
            <v>0</v>
          </cell>
        </row>
        <row r="3005">
          <cell r="B3005">
            <v>2022</v>
          </cell>
          <cell r="C3005">
            <v>17</v>
          </cell>
          <cell r="E3005" t="str">
            <v>GB</v>
          </cell>
          <cell r="I3005">
            <v>41</v>
          </cell>
          <cell r="J3005">
            <v>17</v>
          </cell>
          <cell r="L3005">
            <v>0</v>
          </cell>
        </row>
        <row r="3006">
          <cell r="B3006">
            <v>2022</v>
          </cell>
          <cell r="C3006">
            <v>18</v>
          </cell>
          <cell r="E3006" t="str">
            <v>GB</v>
          </cell>
          <cell r="I3006">
            <v>16</v>
          </cell>
          <cell r="J3006">
            <v>20</v>
          </cell>
          <cell r="L3006">
            <v>0</v>
          </cell>
        </row>
        <row r="3007">
          <cell r="B3007">
            <v>2023</v>
          </cell>
          <cell r="C3007">
            <v>1</v>
          </cell>
          <cell r="E3007" t="str">
            <v>GB</v>
          </cell>
          <cell r="I3007">
            <v>38</v>
          </cell>
          <cell r="J3007">
            <v>20</v>
          </cell>
          <cell r="L3007">
            <v>0</v>
          </cell>
        </row>
        <row r="3008">
          <cell r="B3008">
            <v>2023</v>
          </cell>
          <cell r="C3008">
            <v>2</v>
          </cell>
          <cell r="E3008" t="str">
            <v>GB</v>
          </cell>
          <cell r="I3008">
            <v>24</v>
          </cell>
          <cell r="J3008">
            <v>25</v>
          </cell>
          <cell r="L3008">
            <v>0</v>
          </cell>
        </row>
        <row r="3009">
          <cell r="B3009">
            <v>2023</v>
          </cell>
          <cell r="C3009">
            <v>3</v>
          </cell>
          <cell r="E3009" t="str">
            <v>GB</v>
          </cell>
          <cell r="I3009">
            <v>18</v>
          </cell>
          <cell r="J3009">
            <v>17</v>
          </cell>
          <cell r="L3009">
            <v>0</v>
          </cell>
        </row>
        <row r="3010">
          <cell r="B3010">
            <v>2023</v>
          </cell>
          <cell r="C3010">
            <v>4</v>
          </cell>
          <cell r="E3010" t="str">
            <v>GB</v>
          </cell>
          <cell r="I3010">
            <v>20</v>
          </cell>
          <cell r="J3010">
            <v>34</v>
          </cell>
          <cell r="L3010">
            <v>0</v>
          </cell>
        </row>
        <row r="3011">
          <cell r="B3011">
            <v>2023</v>
          </cell>
          <cell r="C3011">
            <v>5</v>
          </cell>
          <cell r="E3011" t="str">
            <v>GB</v>
          </cell>
          <cell r="I3011">
            <v>13</v>
          </cell>
          <cell r="J3011">
            <v>17</v>
          </cell>
          <cell r="L3011">
            <v>0</v>
          </cell>
        </row>
        <row r="3012">
          <cell r="B3012">
            <v>2023</v>
          </cell>
          <cell r="C3012">
            <v>7</v>
          </cell>
          <cell r="E3012" t="str">
            <v>GB</v>
          </cell>
          <cell r="I3012">
            <v>17</v>
          </cell>
          <cell r="J3012">
            <v>19</v>
          </cell>
          <cell r="L3012">
            <v>0</v>
          </cell>
        </row>
        <row r="3013">
          <cell r="B3013">
            <v>2023</v>
          </cell>
          <cell r="C3013">
            <v>8</v>
          </cell>
          <cell r="E3013" t="str">
            <v>GB</v>
          </cell>
          <cell r="I3013">
            <v>10</v>
          </cell>
          <cell r="J3013">
            <v>24</v>
          </cell>
          <cell r="L3013">
            <v>0</v>
          </cell>
        </row>
        <row r="3014">
          <cell r="B3014">
            <v>2023</v>
          </cell>
          <cell r="C3014">
            <v>9</v>
          </cell>
          <cell r="E3014" t="str">
            <v>GB</v>
          </cell>
          <cell r="I3014">
            <v>20</v>
          </cell>
          <cell r="J3014">
            <v>3</v>
          </cell>
          <cell r="L3014">
            <v>0</v>
          </cell>
        </row>
        <row r="3015">
          <cell r="B3015">
            <v>2023</v>
          </cell>
          <cell r="C3015">
            <v>10</v>
          </cell>
          <cell r="E3015" t="str">
            <v>GB</v>
          </cell>
          <cell r="I3015">
            <v>19</v>
          </cell>
          <cell r="J3015">
            <v>23</v>
          </cell>
          <cell r="L3015">
            <v>0</v>
          </cell>
        </row>
        <row r="3016">
          <cell r="B3016">
            <v>2023</v>
          </cell>
          <cell r="C3016">
            <v>11</v>
          </cell>
          <cell r="E3016" t="str">
            <v>GB</v>
          </cell>
          <cell r="I3016">
            <v>23</v>
          </cell>
          <cell r="J3016">
            <v>20</v>
          </cell>
          <cell r="L3016">
            <v>0</v>
          </cell>
        </row>
        <row r="3017">
          <cell r="B3017">
            <v>2023</v>
          </cell>
          <cell r="C3017">
            <v>12</v>
          </cell>
          <cell r="E3017" t="str">
            <v>GB</v>
          </cell>
          <cell r="I3017">
            <v>29</v>
          </cell>
          <cell r="J3017">
            <v>22</v>
          </cell>
          <cell r="L3017">
            <v>0</v>
          </cell>
        </row>
        <row r="3018">
          <cell r="B3018">
            <v>2023</v>
          </cell>
          <cell r="C3018">
            <v>13</v>
          </cell>
          <cell r="E3018" t="str">
            <v>GB</v>
          </cell>
          <cell r="I3018">
            <v>27</v>
          </cell>
          <cell r="J3018">
            <v>19</v>
          </cell>
          <cell r="L3018">
            <v>0</v>
          </cell>
        </row>
        <row r="3019">
          <cell r="B3019">
            <v>2023</v>
          </cell>
          <cell r="C3019">
            <v>14</v>
          </cell>
          <cell r="E3019" t="str">
            <v>GB</v>
          </cell>
          <cell r="I3019">
            <v>22</v>
          </cell>
          <cell r="J3019">
            <v>24</v>
          </cell>
          <cell r="L3019">
            <v>0</v>
          </cell>
        </row>
        <row r="3020">
          <cell r="B3020">
            <v>2023</v>
          </cell>
          <cell r="C3020">
            <v>15</v>
          </cell>
          <cell r="E3020" t="str">
            <v>GB</v>
          </cell>
          <cell r="I3020">
            <v>20</v>
          </cell>
          <cell r="J3020">
            <v>34</v>
          </cell>
          <cell r="L3020">
            <v>0</v>
          </cell>
        </row>
        <row r="3021">
          <cell r="B3021">
            <v>2023</v>
          </cell>
          <cell r="C3021">
            <v>16</v>
          </cell>
          <cell r="E3021" t="str">
            <v>GB</v>
          </cell>
          <cell r="I3021">
            <v>33</v>
          </cell>
          <cell r="J3021">
            <v>30</v>
          </cell>
          <cell r="L3021">
            <v>0</v>
          </cell>
        </row>
        <row r="3022">
          <cell r="B3022">
            <v>2023</v>
          </cell>
          <cell r="C3022">
            <v>17</v>
          </cell>
          <cell r="E3022" t="str">
            <v>GB</v>
          </cell>
          <cell r="I3022">
            <v>33</v>
          </cell>
          <cell r="J3022">
            <v>10</v>
          </cell>
          <cell r="L3022">
            <v>0</v>
          </cell>
        </row>
        <row r="3023">
          <cell r="B3023">
            <v>2023</v>
          </cell>
          <cell r="C3023">
            <v>18</v>
          </cell>
          <cell r="E3023" t="str">
            <v>GB</v>
          </cell>
          <cell r="I3023">
            <v>17</v>
          </cell>
          <cell r="J3023">
            <v>9</v>
          </cell>
          <cell r="L3023">
            <v>0</v>
          </cell>
        </row>
        <row r="3024">
          <cell r="B3024">
            <v>2023</v>
          </cell>
          <cell r="C3024">
            <v>1</v>
          </cell>
          <cell r="E3024" t="str">
            <v>GB</v>
          </cell>
          <cell r="I3024">
            <v>48</v>
          </cell>
          <cell r="J3024">
            <v>32</v>
          </cell>
          <cell r="L3024">
            <v>1</v>
          </cell>
        </row>
        <row r="3025">
          <cell r="B3025">
            <v>2023</v>
          </cell>
          <cell r="C3025">
            <v>2</v>
          </cell>
          <cell r="E3025" t="str">
            <v>GB</v>
          </cell>
          <cell r="I3025">
            <v>21</v>
          </cell>
          <cell r="J3025">
            <v>24</v>
          </cell>
          <cell r="L3025">
            <v>1</v>
          </cell>
        </row>
        <row r="3026">
          <cell r="B3026">
            <v>2024</v>
          </cell>
          <cell r="C3026">
            <v>1</v>
          </cell>
          <cell r="E3026" t="str">
            <v>GB</v>
          </cell>
          <cell r="I3026">
            <v>29</v>
          </cell>
          <cell r="J3026">
            <v>34</v>
          </cell>
          <cell r="L3026">
            <v>0</v>
          </cell>
        </row>
        <row r="3027">
          <cell r="B3027">
            <v>2024</v>
          </cell>
          <cell r="C3027">
            <v>2</v>
          </cell>
          <cell r="E3027" t="str">
            <v>GB</v>
          </cell>
          <cell r="I3027">
            <v>16</v>
          </cell>
          <cell r="J3027">
            <v>10</v>
          </cell>
          <cell r="L3027">
            <v>0</v>
          </cell>
        </row>
        <row r="3028">
          <cell r="B3028">
            <v>2024</v>
          </cell>
          <cell r="C3028">
            <v>3</v>
          </cell>
          <cell r="E3028" t="str">
            <v>GB</v>
          </cell>
          <cell r="I3028">
            <v>30</v>
          </cell>
          <cell r="J3028">
            <v>14</v>
          </cell>
          <cell r="L3028">
            <v>0</v>
          </cell>
        </row>
        <row r="3029">
          <cell r="B3029">
            <v>2024</v>
          </cell>
          <cell r="C3029">
            <v>4</v>
          </cell>
          <cell r="E3029" t="str">
            <v>GB</v>
          </cell>
          <cell r="I3029">
            <v>29</v>
          </cell>
          <cell r="J3029">
            <v>31</v>
          </cell>
          <cell r="L3029">
            <v>0</v>
          </cell>
        </row>
        <row r="3030">
          <cell r="B3030">
            <v>2024</v>
          </cell>
          <cell r="C3030">
            <v>5</v>
          </cell>
          <cell r="E3030" t="str">
            <v>GB</v>
          </cell>
          <cell r="I3030">
            <v>24</v>
          </cell>
          <cell r="J3030">
            <v>19</v>
          </cell>
          <cell r="L3030">
            <v>0</v>
          </cell>
        </row>
        <row r="3031">
          <cell r="B3031">
            <v>2024</v>
          </cell>
          <cell r="C3031">
            <v>6</v>
          </cell>
          <cell r="E3031" t="str">
            <v>GB</v>
          </cell>
          <cell r="I3031">
            <v>34</v>
          </cell>
          <cell r="J3031">
            <v>13</v>
          </cell>
          <cell r="L3031">
            <v>0</v>
          </cell>
        </row>
        <row r="3032">
          <cell r="B3032">
            <v>2024</v>
          </cell>
          <cell r="C3032">
            <v>7</v>
          </cell>
          <cell r="E3032" t="str">
            <v>GB</v>
          </cell>
          <cell r="I3032">
            <v>24</v>
          </cell>
          <cell r="J3032">
            <v>22</v>
          </cell>
          <cell r="L3032">
            <v>0</v>
          </cell>
        </row>
        <row r="3033">
          <cell r="B3033">
            <v>2024</v>
          </cell>
          <cell r="C3033">
            <v>8</v>
          </cell>
          <cell r="E3033" t="str">
            <v>GB</v>
          </cell>
          <cell r="I3033">
            <v>30</v>
          </cell>
          <cell r="J3033">
            <v>27</v>
          </cell>
          <cell r="L3033">
            <v>0</v>
          </cell>
        </row>
        <row r="3034">
          <cell r="B3034">
            <v>2024</v>
          </cell>
          <cell r="C3034">
            <v>9</v>
          </cell>
          <cell r="E3034" t="str">
            <v>GB</v>
          </cell>
          <cell r="I3034">
            <v>14</v>
          </cell>
          <cell r="J3034">
            <v>24</v>
          </cell>
          <cell r="L3034">
            <v>0</v>
          </cell>
        </row>
        <row r="3035">
          <cell r="B3035">
            <v>2024</v>
          </cell>
          <cell r="C3035">
            <v>11</v>
          </cell>
          <cell r="E3035" t="str">
            <v>GB</v>
          </cell>
          <cell r="I3035">
            <v>20</v>
          </cell>
          <cell r="J3035">
            <v>19</v>
          </cell>
          <cell r="L3035">
            <v>0</v>
          </cell>
        </row>
        <row r="3036">
          <cell r="B3036">
            <v>2024</v>
          </cell>
          <cell r="C3036">
            <v>12</v>
          </cell>
          <cell r="E3036" t="str">
            <v>GB</v>
          </cell>
          <cell r="I3036">
            <v>38</v>
          </cell>
          <cell r="J3036">
            <v>10</v>
          </cell>
          <cell r="L3036">
            <v>0</v>
          </cell>
        </row>
        <row r="3037">
          <cell r="B3037">
            <v>2024</v>
          </cell>
          <cell r="C3037">
            <v>13</v>
          </cell>
          <cell r="E3037" t="str">
            <v>GB</v>
          </cell>
          <cell r="I3037">
            <v>30</v>
          </cell>
          <cell r="J3037">
            <v>17</v>
          </cell>
          <cell r="L3037">
            <v>0</v>
          </cell>
        </row>
        <row r="3038">
          <cell r="B3038">
            <v>2024</v>
          </cell>
          <cell r="C3038">
            <v>14</v>
          </cell>
          <cell r="E3038" t="str">
            <v>GB</v>
          </cell>
          <cell r="I3038">
            <v>31</v>
          </cell>
          <cell r="J3038">
            <v>34</v>
          </cell>
          <cell r="L3038">
            <v>0</v>
          </cell>
        </row>
        <row r="3039">
          <cell r="B3039">
            <v>2024</v>
          </cell>
          <cell r="C3039">
            <v>15</v>
          </cell>
          <cell r="E3039" t="str">
            <v>GB</v>
          </cell>
          <cell r="I3039">
            <v>30</v>
          </cell>
          <cell r="J3039">
            <v>13</v>
          </cell>
          <cell r="L3039">
            <v>0</v>
          </cell>
        </row>
        <row r="3040">
          <cell r="B3040">
            <v>2024</v>
          </cell>
          <cell r="C3040">
            <v>16</v>
          </cell>
          <cell r="E3040" t="str">
            <v>GB</v>
          </cell>
          <cell r="I3040">
            <v>34</v>
          </cell>
          <cell r="J3040">
            <v>0</v>
          </cell>
          <cell r="L3040">
            <v>0</v>
          </cell>
        </row>
        <row r="3041">
          <cell r="B3041">
            <v>2024</v>
          </cell>
          <cell r="C3041">
            <v>17</v>
          </cell>
          <cell r="E3041" t="str">
            <v>GB</v>
          </cell>
          <cell r="I3041">
            <v>25</v>
          </cell>
          <cell r="J3041">
            <v>27</v>
          </cell>
          <cell r="L3041">
            <v>0</v>
          </cell>
        </row>
        <row r="3042">
          <cell r="B3042">
            <v>2024</v>
          </cell>
          <cell r="C3042">
            <v>18</v>
          </cell>
          <cell r="E3042" t="str">
            <v>GB</v>
          </cell>
          <cell r="I3042">
            <v>22</v>
          </cell>
          <cell r="J3042">
            <v>24</v>
          </cell>
          <cell r="L3042">
            <v>0</v>
          </cell>
        </row>
        <row r="3043">
          <cell r="B3043">
            <v>2024</v>
          </cell>
          <cell r="C3043">
            <v>1</v>
          </cell>
          <cell r="E3043" t="str">
            <v>GB</v>
          </cell>
          <cell r="I3043">
            <v>10</v>
          </cell>
          <cell r="J3043">
            <v>22</v>
          </cell>
          <cell r="L3043">
            <v>1</v>
          </cell>
        </row>
        <row r="3044">
          <cell r="B3044">
            <v>2025</v>
          </cell>
          <cell r="C3044">
            <v>1</v>
          </cell>
          <cell r="E3044" t="str">
            <v>GB</v>
          </cell>
          <cell r="I3044">
            <v>27</v>
          </cell>
          <cell r="J3044">
            <v>13</v>
          </cell>
          <cell r="L3044">
            <v>0</v>
          </cell>
        </row>
        <row r="3045">
          <cell r="B3045">
            <v>2025</v>
          </cell>
          <cell r="C3045">
            <v>2</v>
          </cell>
          <cell r="E3045" t="str">
            <v>GB</v>
          </cell>
          <cell r="I3045">
            <v>27</v>
          </cell>
          <cell r="J3045">
            <v>18</v>
          </cell>
          <cell r="L3045">
            <v>0</v>
          </cell>
        </row>
        <row r="3046">
          <cell r="B3046">
            <v>2025</v>
          </cell>
          <cell r="C3046">
            <v>3</v>
          </cell>
          <cell r="E3046" t="str">
            <v>GB</v>
          </cell>
          <cell r="I3046">
            <v>10</v>
          </cell>
          <cell r="J3046">
            <v>13</v>
          </cell>
          <cell r="L3046">
            <v>0</v>
          </cell>
        </row>
        <row r="3047">
          <cell r="B3047">
            <v>2025</v>
          </cell>
          <cell r="C3047">
            <v>4</v>
          </cell>
          <cell r="E3047" t="str">
            <v>GB</v>
          </cell>
          <cell r="I3047">
            <v>40</v>
          </cell>
          <cell r="J3047">
            <v>40</v>
          </cell>
          <cell r="L3047">
            <v>0</v>
          </cell>
        </row>
        <row r="3048">
          <cell r="B3048">
            <v>2025</v>
          </cell>
          <cell r="C3048">
            <v>6</v>
          </cell>
          <cell r="E3048" t="str">
            <v>GB</v>
          </cell>
          <cell r="I3048">
            <v>27</v>
          </cell>
          <cell r="J3048">
            <v>18</v>
          </cell>
          <cell r="L3048">
            <v>0</v>
          </cell>
        </row>
        <row r="3049">
          <cell r="B3049">
            <v>2025</v>
          </cell>
          <cell r="C3049">
            <v>7</v>
          </cell>
          <cell r="E3049" t="str">
            <v>GB</v>
          </cell>
          <cell r="I3049">
            <v>27</v>
          </cell>
          <cell r="J3049">
            <v>23</v>
          </cell>
          <cell r="L3049">
            <v>0</v>
          </cell>
        </row>
        <row r="3050">
          <cell r="B3050">
            <v>2025</v>
          </cell>
          <cell r="C3050">
            <v>8</v>
          </cell>
          <cell r="E3050" t="str">
            <v>GB</v>
          </cell>
          <cell r="I3050">
            <v>35</v>
          </cell>
          <cell r="J3050">
            <v>25</v>
          </cell>
          <cell r="L3050">
            <v>0</v>
          </cell>
        </row>
        <row r="3051">
          <cell r="B3051">
            <v>2025</v>
          </cell>
          <cell r="C3051">
            <v>9</v>
          </cell>
          <cell r="E3051" t="str">
            <v>GB</v>
          </cell>
          <cell r="I3051">
            <v>13</v>
          </cell>
          <cell r="J3051">
            <v>16</v>
          </cell>
          <cell r="L3051">
            <v>0</v>
          </cell>
        </row>
        <row r="3052">
          <cell r="B3052">
            <v>2025</v>
          </cell>
          <cell r="C3052">
            <v>10</v>
          </cell>
          <cell r="E3052" t="str">
            <v>GB</v>
          </cell>
          <cell r="I3052">
            <v>7</v>
          </cell>
          <cell r="J3052">
            <v>10</v>
          </cell>
          <cell r="L3052">
            <v>0</v>
          </cell>
        </row>
        <row r="3053">
          <cell r="B3053">
            <v>2025</v>
          </cell>
          <cell r="C3053">
            <v>11</v>
          </cell>
          <cell r="E3053" t="str">
            <v>GB</v>
          </cell>
          <cell r="I3053">
            <v>27</v>
          </cell>
          <cell r="J3053">
            <v>20</v>
          </cell>
          <cell r="L3053">
            <v>0</v>
          </cell>
        </row>
        <row r="3054">
          <cell r="B3054">
            <v>2025</v>
          </cell>
          <cell r="C3054">
            <v>12</v>
          </cell>
          <cell r="E3054" t="str">
            <v>GB</v>
          </cell>
          <cell r="I3054">
            <v>23</v>
          </cell>
          <cell r="J3054">
            <v>6</v>
          </cell>
          <cell r="L3054">
            <v>0</v>
          </cell>
        </row>
        <row r="3055">
          <cell r="B3055">
            <v>2025</v>
          </cell>
          <cell r="C3055">
            <v>13</v>
          </cell>
          <cell r="E3055" t="str">
            <v>GB</v>
          </cell>
          <cell r="I3055">
            <v>31</v>
          </cell>
          <cell r="J3055">
            <v>24</v>
          </cell>
          <cell r="L3055">
            <v>0</v>
          </cell>
        </row>
        <row r="3056">
          <cell r="B3056">
            <v>2025</v>
          </cell>
          <cell r="C3056">
            <v>14</v>
          </cell>
          <cell r="E3056" t="str">
            <v>GB</v>
          </cell>
          <cell r="I3056">
            <v>28</v>
          </cell>
          <cell r="J3056">
            <v>21</v>
          </cell>
          <cell r="L3056">
            <v>0</v>
          </cell>
        </row>
        <row r="3057">
          <cell r="B3057">
            <v>2025</v>
          </cell>
          <cell r="C3057">
            <v>15</v>
          </cell>
          <cell r="E3057" t="str">
            <v>GB</v>
          </cell>
          <cell r="I3057">
            <v>26</v>
          </cell>
          <cell r="J3057">
            <v>34</v>
          </cell>
          <cell r="L3057">
            <v>0</v>
          </cell>
        </row>
        <row r="3058">
          <cell r="B3058">
            <v>2025</v>
          </cell>
          <cell r="C3058">
            <v>16</v>
          </cell>
          <cell r="E3058" t="str">
            <v>GB</v>
          </cell>
          <cell r="I3058">
            <v>16</v>
          </cell>
          <cell r="J3058">
            <v>22</v>
          </cell>
          <cell r="L3058">
            <v>0</v>
          </cell>
        </row>
        <row r="3059">
          <cell r="B3059">
            <v>2025</v>
          </cell>
          <cell r="C3059">
            <v>17</v>
          </cell>
          <cell r="E3059" t="str">
            <v>GB</v>
          </cell>
          <cell r="I3059">
            <v>24</v>
          </cell>
          <cell r="J3059">
            <v>41</v>
          </cell>
          <cell r="L3059">
            <v>0</v>
          </cell>
        </row>
        <row r="3060">
          <cell r="B3060">
            <v>2025</v>
          </cell>
          <cell r="C3060">
            <v>18</v>
          </cell>
          <cell r="E3060" t="str">
            <v>GB</v>
          </cell>
          <cell r="I3060">
            <v>3</v>
          </cell>
          <cell r="J3060">
            <v>16</v>
          </cell>
          <cell r="L3060">
            <v>0</v>
          </cell>
        </row>
        <row r="3061">
          <cell r="B3061">
            <v>2025</v>
          </cell>
          <cell r="C3061">
            <v>1</v>
          </cell>
          <cell r="E3061" t="str">
            <v>GB</v>
          </cell>
          <cell r="I3061">
            <v>27</v>
          </cell>
          <cell r="J3061">
            <v>31</v>
          </cell>
          <cell r="L3061">
            <v>1</v>
          </cell>
        </row>
        <row r="3062">
          <cell r="B3062">
            <v>2026</v>
          </cell>
          <cell r="C3062">
            <v>1</v>
          </cell>
          <cell r="E3062" t="str">
            <v>GB</v>
          </cell>
          <cell r="I3062">
            <v>22</v>
          </cell>
          <cell r="J3062">
            <v>39</v>
          </cell>
          <cell r="L3062">
            <v>0</v>
          </cell>
        </row>
        <row r="3063">
          <cell r="B3063">
            <v>2026</v>
          </cell>
          <cell r="C3063">
            <v>2</v>
          </cell>
          <cell r="E3063" t="str">
            <v>GB</v>
          </cell>
          <cell r="I3063">
            <v>20</v>
          </cell>
          <cell r="J3063">
            <v>17</v>
          </cell>
          <cell r="L3063">
            <v>0</v>
          </cell>
        </row>
        <row r="3064">
          <cell r="B3064">
            <v>2026</v>
          </cell>
          <cell r="C3064">
            <v>3</v>
          </cell>
          <cell r="E3064" t="str">
            <v>GB</v>
          </cell>
          <cell r="I3064">
            <v>14</v>
          </cell>
          <cell r="J3064">
            <v>35</v>
          </cell>
          <cell r="L3064">
            <v>0</v>
          </cell>
        </row>
        <row r="3065">
          <cell r="B3065">
            <v>2026</v>
          </cell>
          <cell r="C3065">
            <v>4</v>
          </cell>
          <cell r="E3065" t="str">
            <v>GB</v>
          </cell>
          <cell r="I3065">
            <v>17</v>
          </cell>
          <cell r="J3065">
            <v>14</v>
          </cell>
          <cell r="L3065">
            <v>0</v>
          </cell>
        </row>
        <row r="3066">
          <cell r="B3066">
            <v>2026</v>
          </cell>
          <cell r="C3066">
            <v>5</v>
          </cell>
          <cell r="E3066" t="str">
            <v>GB</v>
          </cell>
          <cell r="I3066">
            <v>31</v>
          </cell>
          <cell r="J3066">
            <v>7</v>
          </cell>
          <cell r="L3066">
            <v>0</v>
          </cell>
        </row>
        <row r="3067">
          <cell r="B3067">
            <v>2026</v>
          </cell>
          <cell r="C3067">
            <v>6</v>
          </cell>
          <cell r="E3067" t="str">
            <v>GB</v>
          </cell>
          <cell r="I3067">
            <v>23</v>
          </cell>
          <cell r="J3067">
            <v>13</v>
          </cell>
          <cell r="L3067">
            <v>0</v>
          </cell>
        </row>
        <row r="3068">
          <cell r="B3068">
            <v>2026</v>
          </cell>
          <cell r="C3068">
            <v>7</v>
          </cell>
          <cell r="E3068" t="str">
            <v>GB</v>
          </cell>
          <cell r="L3068">
            <v>0</v>
          </cell>
        </row>
        <row r="3069">
          <cell r="B3069">
            <v>2018</v>
          </cell>
          <cell r="C3069">
            <v>1</v>
          </cell>
          <cell r="E3069" t="str">
            <v>MIN</v>
          </cell>
          <cell r="I3069">
            <v>24</v>
          </cell>
          <cell r="J3069">
            <v>16</v>
          </cell>
          <cell r="L3069">
            <v>0</v>
          </cell>
        </row>
        <row r="3070">
          <cell r="B3070">
            <v>2018</v>
          </cell>
          <cell r="C3070">
            <v>2</v>
          </cell>
          <cell r="E3070" t="str">
            <v>MIN</v>
          </cell>
          <cell r="I3070">
            <v>29</v>
          </cell>
          <cell r="J3070">
            <v>29</v>
          </cell>
          <cell r="L3070">
            <v>0</v>
          </cell>
        </row>
        <row r="3071">
          <cell r="B3071">
            <v>2018</v>
          </cell>
          <cell r="C3071">
            <v>3</v>
          </cell>
          <cell r="E3071" t="str">
            <v>MIN</v>
          </cell>
          <cell r="I3071">
            <v>6</v>
          </cell>
          <cell r="J3071">
            <v>27</v>
          </cell>
          <cell r="L3071">
            <v>0</v>
          </cell>
        </row>
        <row r="3072">
          <cell r="B3072">
            <v>2018</v>
          </cell>
          <cell r="C3072">
            <v>4</v>
          </cell>
          <cell r="E3072" t="str">
            <v>MIN</v>
          </cell>
          <cell r="I3072">
            <v>31</v>
          </cell>
          <cell r="J3072">
            <v>38</v>
          </cell>
          <cell r="L3072">
            <v>0</v>
          </cell>
        </row>
        <row r="3073">
          <cell r="B3073">
            <v>2018</v>
          </cell>
          <cell r="C3073">
            <v>5</v>
          </cell>
          <cell r="E3073" t="str">
            <v>MIN</v>
          </cell>
          <cell r="I3073">
            <v>23</v>
          </cell>
          <cell r="J3073">
            <v>21</v>
          </cell>
          <cell r="L3073">
            <v>0</v>
          </cell>
        </row>
        <row r="3074">
          <cell r="B3074">
            <v>2018</v>
          </cell>
          <cell r="C3074">
            <v>6</v>
          </cell>
          <cell r="E3074" t="str">
            <v>MIN</v>
          </cell>
          <cell r="I3074">
            <v>27</v>
          </cell>
          <cell r="J3074">
            <v>17</v>
          </cell>
          <cell r="L3074">
            <v>0</v>
          </cell>
        </row>
        <row r="3075">
          <cell r="B3075">
            <v>2018</v>
          </cell>
          <cell r="C3075">
            <v>7</v>
          </cell>
          <cell r="E3075" t="str">
            <v>MIN</v>
          </cell>
          <cell r="I3075">
            <v>37</v>
          </cell>
          <cell r="J3075">
            <v>17</v>
          </cell>
          <cell r="L3075">
            <v>0</v>
          </cell>
        </row>
        <row r="3076">
          <cell r="B3076">
            <v>2018</v>
          </cell>
          <cell r="C3076">
            <v>8</v>
          </cell>
          <cell r="E3076" t="str">
            <v>MIN</v>
          </cell>
          <cell r="I3076">
            <v>20</v>
          </cell>
          <cell r="J3076">
            <v>30</v>
          </cell>
          <cell r="L3076">
            <v>0</v>
          </cell>
        </row>
        <row r="3077">
          <cell r="B3077">
            <v>2018</v>
          </cell>
          <cell r="C3077">
            <v>9</v>
          </cell>
          <cell r="E3077" t="str">
            <v>MIN</v>
          </cell>
          <cell r="I3077">
            <v>24</v>
          </cell>
          <cell r="J3077">
            <v>9</v>
          </cell>
          <cell r="L3077">
            <v>0</v>
          </cell>
        </row>
        <row r="3078">
          <cell r="B3078">
            <v>2018</v>
          </cell>
          <cell r="C3078">
            <v>11</v>
          </cell>
          <cell r="E3078" t="str">
            <v>MIN</v>
          </cell>
          <cell r="I3078">
            <v>20</v>
          </cell>
          <cell r="J3078">
            <v>25</v>
          </cell>
          <cell r="L3078">
            <v>0</v>
          </cell>
        </row>
        <row r="3079">
          <cell r="B3079">
            <v>2018</v>
          </cell>
          <cell r="C3079">
            <v>12</v>
          </cell>
          <cell r="E3079" t="str">
            <v>MIN</v>
          </cell>
          <cell r="I3079">
            <v>24</v>
          </cell>
          <cell r="J3079">
            <v>17</v>
          </cell>
          <cell r="L3079">
            <v>0</v>
          </cell>
        </row>
        <row r="3080">
          <cell r="B3080">
            <v>2018</v>
          </cell>
          <cell r="C3080">
            <v>13</v>
          </cell>
          <cell r="E3080" t="str">
            <v>MIN</v>
          </cell>
          <cell r="I3080">
            <v>10</v>
          </cell>
          <cell r="J3080">
            <v>24</v>
          </cell>
          <cell r="L3080">
            <v>0</v>
          </cell>
        </row>
        <row r="3081">
          <cell r="B3081">
            <v>2018</v>
          </cell>
          <cell r="C3081">
            <v>14</v>
          </cell>
          <cell r="E3081" t="str">
            <v>MIN</v>
          </cell>
          <cell r="I3081">
            <v>7</v>
          </cell>
          <cell r="J3081">
            <v>21</v>
          </cell>
          <cell r="L3081">
            <v>0</v>
          </cell>
        </row>
        <row r="3082">
          <cell r="B3082">
            <v>2018</v>
          </cell>
          <cell r="C3082">
            <v>15</v>
          </cell>
          <cell r="E3082" t="str">
            <v>MIN</v>
          </cell>
          <cell r="I3082">
            <v>41</v>
          </cell>
          <cell r="J3082">
            <v>17</v>
          </cell>
          <cell r="L3082">
            <v>0</v>
          </cell>
        </row>
        <row r="3083">
          <cell r="B3083">
            <v>2018</v>
          </cell>
          <cell r="C3083">
            <v>16</v>
          </cell>
          <cell r="E3083" t="str">
            <v>MIN</v>
          </cell>
          <cell r="I3083">
            <v>27</v>
          </cell>
          <cell r="J3083">
            <v>9</v>
          </cell>
          <cell r="L3083">
            <v>0</v>
          </cell>
        </row>
        <row r="3084">
          <cell r="B3084">
            <v>2018</v>
          </cell>
          <cell r="C3084">
            <v>17</v>
          </cell>
          <cell r="E3084" t="str">
            <v>MIN</v>
          </cell>
          <cell r="I3084">
            <v>10</v>
          </cell>
          <cell r="J3084">
            <v>24</v>
          </cell>
          <cell r="L3084">
            <v>0</v>
          </cell>
        </row>
        <row r="3085">
          <cell r="B3085">
            <v>2019</v>
          </cell>
          <cell r="C3085">
            <v>1</v>
          </cell>
          <cell r="E3085" t="str">
            <v>MIN</v>
          </cell>
          <cell r="I3085">
            <v>28</v>
          </cell>
          <cell r="J3085">
            <v>12</v>
          </cell>
          <cell r="L3085">
            <v>0</v>
          </cell>
        </row>
        <row r="3086">
          <cell r="B3086">
            <v>2019</v>
          </cell>
          <cell r="C3086">
            <v>2</v>
          </cell>
          <cell r="E3086" t="str">
            <v>MIN</v>
          </cell>
          <cell r="I3086">
            <v>16</v>
          </cell>
          <cell r="J3086">
            <v>21</v>
          </cell>
          <cell r="L3086">
            <v>0</v>
          </cell>
        </row>
        <row r="3087">
          <cell r="B3087">
            <v>2019</v>
          </cell>
          <cell r="C3087">
            <v>3</v>
          </cell>
          <cell r="E3087" t="str">
            <v>MIN</v>
          </cell>
          <cell r="I3087">
            <v>34</v>
          </cell>
          <cell r="J3087">
            <v>14</v>
          </cell>
          <cell r="L3087">
            <v>0</v>
          </cell>
        </row>
        <row r="3088">
          <cell r="B3088">
            <v>2019</v>
          </cell>
          <cell r="C3088">
            <v>4</v>
          </cell>
          <cell r="E3088" t="str">
            <v>MIN</v>
          </cell>
          <cell r="I3088">
            <v>6</v>
          </cell>
          <cell r="J3088">
            <v>16</v>
          </cell>
          <cell r="L3088">
            <v>0</v>
          </cell>
        </row>
        <row r="3089">
          <cell r="B3089">
            <v>2019</v>
          </cell>
          <cell r="C3089">
            <v>5</v>
          </cell>
          <cell r="E3089" t="str">
            <v>MIN</v>
          </cell>
          <cell r="I3089">
            <v>28</v>
          </cell>
          <cell r="J3089">
            <v>10</v>
          </cell>
          <cell r="L3089">
            <v>0</v>
          </cell>
        </row>
        <row r="3090">
          <cell r="B3090">
            <v>2019</v>
          </cell>
          <cell r="C3090">
            <v>6</v>
          </cell>
          <cell r="E3090" t="str">
            <v>MIN</v>
          </cell>
          <cell r="I3090">
            <v>38</v>
          </cell>
          <cell r="J3090">
            <v>20</v>
          </cell>
          <cell r="L3090">
            <v>0</v>
          </cell>
        </row>
        <row r="3091">
          <cell r="B3091">
            <v>2019</v>
          </cell>
          <cell r="C3091">
            <v>7</v>
          </cell>
          <cell r="E3091" t="str">
            <v>MIN</v>
          </cell>
          <cell r="I3091">
            <v>42</v>
          </cell>
          <cell r="J3091">
            <v>30</v>
          </cell>
          <cell r="L3091">
            <v>0</v>
          </cell>
        </row>
        <row r="3092">
          <cell r="B3092">
            <v>2019</v>
          </cell>
          <cell r="C3092">
            <v>8</v>
          </cell>
          <cell r="E3092" t="str">
            <v>MIN</v>
          </cell>
          <cell r="I3092">
            <v>19</v>
          </cell>
          <cell r="J3092">
            <v>9</v>
          </cell>
          <cell r="L3092">
            <v>0</v>
          </cell>
        </row>
        <row r="3093">
          <cell r="B3093">
            <v>2019</v>
          </cell>
          <cell r="C3093">
            <v>9</v>
          </cell>
          <cell r="E3093" t="str">
            <v>MIN</v>
          </cell>
          <cell r="I3093">
            <v>23</v>
          </cell>
          <cell r="J3093">
            <v>26</v>
          </cell>
          <cell r="L3093">
            <v>0</v>
          </cell>
        </row>
        <row r="3094">
          <cell r="B3094">
            <v>2019</v>
          </cell>
          <cell r="C3094">
            <v>10</v>
          </cell>
          <cell r="E3094" t="str">
            <v>MIN</v>
          </cell>
          <cell r="I3094">
            <v>28</v>
          </cell>
          <cell r="J3094">
            <v>24</v>
          </cell>
          <cell r="L3094">
            <v>0</v>
          </cell>
        </row>
        <row r="3095">
          <cell r="B3095">
            <v>2019</v>
          </cell>
          <cell r="C3095">
            <v>11</v>
          </cell>
          <cell r="E3095" t="str">
            <v>MIN</v>
          </cell>
          <cell r="I3095">
            <v>27</v>
          </cell>
          <cell r="J3095">
            <v>23</v>
          </cell>
          <cell r="L3095">
            <v>0</v>
          </cell>
        </row>
        <row r="3096">
          <cell r="B3096">
            <v>2019</v>
          </cell>
          <cell r="C3096">
            <v>13</v>
          </cell>
          <cell r="E3096" t="str">
            <v>MIN</v>
          </cell>
          <cell r="I3096">
            <v>30</v>
          </cell>
          <cell r="J3096">
            <v>37</v>
          </cell>
          <cell r="L3096">
            <v>0</v>
          </cell>
        </row>
        <row r="3097">
          <cell r="B3097">
            <v>2019</v>
          </cell>
          <cell r="C3097">
            <v>14</v>
          </cell>
          <cell r="E3097" t="str">
            <v>MIN</v>
          </cell>
          <cell r="I3097">
            <v>20</v>
          </cell>
          <cell r="J3097">
            <v>7</v>
          </cell>
          <cell r="L3097">
            <v>0</v>
          </cell>
        </row>
        <row r="3098">
          <cell r="B3098">
            <v>2019</v>
          </cell>
          <cell r="C3098">
            <v>15</v>
          </cell>
          <cell r="E3098" t="str">
            <v>MIN</v>
          </cell>
          <cell r="I3098">
            <v>39</v>
          </cell>
          <cell r="J3098">
            <v>10</v>
          </cell>
          <cell r="L3098">
            <v>0</v>
          </cell>
        </row>
        <row r="3099">
          <cell r="B3099">
            <v>2019</v>
          </cell>
          <cell r="C3099">
            <v>16</v>
          </cell>
          <cell r="E3099" t="str">
            <v>MIN</v>
          </cell>
          <cell r="I3099">
            <v>10</v>
          </cell>
          <cell r="J3099">
            <v>23</v>
          </cell>
          <cell r="L3099">
            <v>0</v>
          </cell>
        </row>
        <row r="3100">
          <cell r="B3100">
            <v>2019</v>
          </cell>
          <cell r="C3100">
            <v>17</v>
          </cell>
          <cell r="E3100" t="str">
            <v>MIN</v>
          </cell>
          <cell r="I3100">
            <v>19</v>
          </cell>
          <cell r="J3100">
            <v>21</v>
          </cell>
          <cell r="L3100">
            <v>0</v>
          </cell>
        </row>
        <row r="3101">
          <cell r="B3101">
            <v>2019</v>
          </cell>
          <cell r="C3101">
            <v>1</v>
          </cell>
          <cell r="E3101" t="str">
            <v>MIN</v>
          </cell>
          <cell r="I3101">
            <v>26</v>
          </cell>
          <cell r="J3101">
            <v>20</v>
          </cell>
          <cell r="L3101">
            <v>1</v>
          </cell>
        </row>
        <row r="3102">
          <cell r="B3102">
            <v>2019</v>
          </cell>
          <cell r="C3102">
            <v>2</v>
          </cell>
          <cell r="E3102" t="str">
            <v>MIN</v>
          </cell>
          <cell r="I3102">
            <v>10</v>
          </cell>
          <cell r="J3102">
            <v>27</v>
          </cell>
          <cell r="L3102">
            <v>1</v>
          </cell>
        </row>
        <row r="3103">
          <cell r="B3103">
            <v>2020</v>
          </cell>
          <cell r="C3103">
            <v>1</v>
          </cell>
          <cell r="E3103" t="str">
            <v>MIN</v>
          </cell>
          <cell r="I3103">
            <v>34</v>
          </cell>
          <cell r="J3103">
            <v>43</v>
          </cell>
          <cell r="L3103">
            <v>0</v>
          </cell>
        </row>
        <row r="3104">
          <cell r="B3104">
            <v>2020</v>
          </cell>
          <cell r="C3104">
            <v>2</v>
          </cell>
          <cell r="E3104" t="str">
            <v>MIN</v>
          </cell>
          <cell r="I3104">
            <v>11</v>
          </cell>
          <cell r="J3104">
            <v>28</v>
          </cell>
          <cell r="L3104">
            <v>0</v>
          </cell>
        </row>
        <row r="3105">
          <cell r="B3105">
            <v>2020</v>
          </cell>
          <cell r="C3105">
            <v>3</v>
          </cell>
          <cell r="E3105" t="str">
            <v>MIN</v>
          </cell>
          <cell r="I3105">
            <v>30</v>
          </cell>
          <cell r="J3105">
            <v>31</v>
          </cell>
          <cell r="L3105">
            <v>0</v>
          </cell>
        </row>
        <row r="3106">
          <cell r="B3106">
            <v>2020</v>
          </cell>
          <cell r="C3106">
            <v>4</v>
          </cell>
          <cell r="E3106" t="str">
            <v>MIN</v>
          </cell>
          <cell r="I3106">
            <v>31</v>
          </cell>
          <cell r="J3106">
            <v>23</v>
          </cell>
          <cell r="L3106">
            <v>0</v>
          </cell>
        </row>
        <row r="3107">
          <cell r="B3107">
            <v>2020</v>
          </cell>
          <cell r="C3107">
            <v>5</v>
          </cell>
          <cell r="E3107" t="str">
            <v>MIN</v>
          </cell>
          <cell r="I3107">
            <v>26</v>
          </cell>
          <cell r="J3107">
            <v>27</v>
          </cell>
          <cell r="L3107">
            <v>0</v>
          </cell>
        </row>
        <row r="3108">
          <cell r="B3108">
            <v>2020</v>
          </cell>
          <cell r="C3108">
            <v>6</v>
          </cell>
          <cell r="E3108" t="str">
            <v>MIN</v>
          </cell>
          <cell r="I3108">
            <v>23</v>
          </cell>
          <cell r="J3108">
            <v>40</v>
          </cell>
          <cell r="L3108">
            <v>0</v>
          </cell>
        </row>
        <row r="3109">
          <cell r="B3109">
            <v>2020</v>
          </cell>
          <cell r="C3109">
            <v>8</v>
          </cell>
          <cell r="E3109" t="str">
            <v>MIN</v>
          </cell>
          <cell r="I3109">
            <v>28</v>
          </cell>
          <cell r="J3109">
            <v>22</v>
          </cell>
          <cell r="L3109">
            <v>0</v>
          </cell>
        </row>
        <row r="3110">
          <cell r="B3110">
            <v>2020</v>
          </cell>
          <cell r="C3110">
            <v>9</v>
          </cell>
          <cell r="E3110" t="str">
            <v>MIN</v>
          </cell>
          <cell r="I3110">
            <v>34</v>
          </cell>
          <cell r="J3110">
            <v>20</v>
          </cell>
          <cell r="L3110">
            <v>0</v>
          </cell>
        </row>
        <row r="3111">
          <cell r="B3111">
            <v>2020</v>
          </cell>
          <cell r="C3111">
            <v>10</v>
          </cell>
          <cell r="E3111" t="str">
            <v>MIN</v>
          </cell>
          <cell r="I3111">
            <v>19</v>
          </cell>
          <cell r="J3111">
            <v>13</v>
          </cell>
          <cell r="L3111">
            <v>0</v>
          </cell>
        </row>
        <row r="3112">
          <cell r="B3112">
            <v>2020</v>
          </cell>
          <cell r="C3112">
            <v>11</v>
          </cell>
          <cell r="E3112" t="str">
            <v>MIN</v>
          </cell>
          <cell r="I3112">
            <v>28</v>
          </cell>
          <cell r="J3112">
            <v>31</v>
          </cell>
          <cell r="L3112">
            <v>0</v>
          </cell>
        </row>
        <row r="3113">
          <cell r="B3113">
            <v>2020</v>
          </cell>
          <cell r="C3113">
            <v>12</v>
          </cell>
          <cell r="E3113" t="str">
            <v>MIN</v>
          </cell>
          <cell r="I3113">
            <v>28</v>
          </cell>
          <cell r="J3113">
            <v>27</v>
          </cell>
          <cell r="L3113">
            <v>0</v>
          </cell>
        </row>
        <row r="3114">
          <cell r="B3114">
            <v>2020</v>
          </cell>
          <cell r="C3114">
            <v>13</v>
          </cell>
          <cell r="E3114" t="str">
            <v>MIN</v>
          </cell>
          <cell r="I3114">
            <v>27</v>
          </cell>
          <cell r="J3114">
            <v>24</v>
          </cell>
          <cell r="L3114">
            <v>0</v>
          </cell>
        </row>
        <row r="3115">
          <cell r="B3115">
            <v>2020</v>
          </cell>
          <cell r="C3115">
            <v>14</v>
          </cell>
          <cell r="E3115" t="str">
            <v>MIN</v>
          </cell>
          <cell r="I3115">
            <v>14</v>
          </cell>
          <cell r="J3115">
            <v>26</v>
          </cell>
          <cell r="L3115">
            <v>0</v>
          </cell>
        </row>
        <row r="3116">
          <cell r="B3116">
            <v>2020</v>
          </cell>
          <cell r="C3116">
            <v>15</v>
          </cell>
          <cell r="E3116" t="str">
            <v>MIN</v>
          </cell>
          <cell r="I3116">
            <v>27</v>
          </cell>
          <cell r="J3116">
            <v>33</v>
          </cell>
          <cell r="L3116">
            <v>0</v>
          </cell>
        </row>
        <row r="3117">
          <cell r="B3117">
            <v>2020</v>
          </cell>
          <cell r="C3117">
            <v>16</v>
          </cell>
          <cell r="E3117" t="str">
            <v>MIN</v>
          </cell>
          <cell r="I3117">
            <v>33</v>
          </cell>
          <cell r="J3117">
            <v>52</v>
          </cell>
          <cell r="L3117">
            <v>0</v>
          </cell>
        </row>
        <row r="3118">
          <cell r="B3118">
            <v>2020</v>
          </cell>
          <cell r="C3118">
            <v>17</v>
          </cell>
          <cell r="E3118" t="str">
            <v>MIN</v>
          </cell>
          <cell r="I3118">
            <v>37</v>
          </cell>
          <cell r="J3118">
            <v>35</v>
          </cell>
          <cell r="L3118">
            <v>0</v>
          </cell>
        </row>
        <row r="3119">
          <cell r="B3119">
            <v>2021</v>
          </cell>
          <cell r="C3119">
            <v>1</v>
          </cell>
          <cell r="E3119" t="str">
            <v>MIN</v>
          </cell>
          <cell r="I3119">
            <v>24</v>
          </cell>
          <cell r="J3119">
            <v>27</v>
          </cell>
          <cell r="L3119">
            <v>0</v>
          </cell>
        </row>
        <row r="3120">
          <cell r="B3120">
            <v>2021</v>
          </cell>
          <cell r="C3120">
            <v>2</v>
          </cell>
          <cell r="E3120" t="str">
            <v>MIN</v>
          </cell>
          <cell r="I3120">
            <v>33</v>
          </cell>
          <cell r="J3120">
            <v>34</v>
          </cell>
          <cell r="L3120">
            <v>0</v>
          </cell>
        </row>
        <row r="3121">
          <cell r="B3121">
            <v>2021</v>
          </cell>
          <cell r="C3121">
            <v>3</v>
          </cell>
          <cell r="E3121" t="str">
            <v>MIN</v>
          </cell>
          <cell r="I3121">
            <v>30</v>
          </cell>
          <cell r="J3121">
            <v>17</v>
          </cell>
          <cell r="L3121">
            <v>0</v>
          </cell>
        </row>
        <row r="3122">
          <cell r="B3122">
            <v>2021</v>
          </cell>
          <cell r="C3122">
            <v>4</v>
          </cell>
          <cell r="E3122" t="str">
            <v>MIN</v>
          </cell>
          <cell r="I3122">
            <v>7</v>
          </cell>
          <cell r="J3122">
            <v>14</v>
          </cell>
          <cell r="L3122">
            <v>0</v>
          </cell>
        </row>
        <row r="3123">
          <cell r="B3123">
            <v>2021</v>
          </cell>
          <cell r="C3123">
            <v>5</v>
          </cell>
          <cell r="E3123" t="str">
            <v>MIN</v>
          </cell>
          <cell r="I3123">
            <v>19</v>
          </cell>
          <cell r="J3123">
            <v>17</v>
          </cell>
          <cell r="L3123">
            <v>0</v>
          </cell>
        </row>
        <row r="3124">
          <cell r="B3124">
            <v>2021</v>
          </cell>
          <cell r="C3124">
            <v>6</v>
          </cell>
          <cell r="E3124" t="str">
            <v>MIN</v>
          </cell>
          <cell r="I3124">
            <v>34</v>
          </cell>
          <cell r="J3124">
            <v>28</v>
          </cell>
          <cell r="L3124">
            <v>0</v>
          </cell>
        </row>
        <row r="3125">
          <cell r="B3125">
            <v>2021</v>
          </cell>
          <cell r="C3125">
            <v>8</v>
          </cell>
          <cell r="E3125" t="str">
            <v>MIN</v>
          </cell>
          <cell r="I3125">
            <v>16</v>
          </cell>
          <cell r="J3125">
            <v>20</v>
          </cell>
          <cell r="L3125">
            <v>0</v>
          </cell>
        </row>
        <row r="3126">
          <cell r="B3126">
            <v>2021</v>
          </cell>
          <cell r="C3126">
            <v>9</v>
          </cell>
          <cell r="E3126" t="str">
            <v>MIN</v>
          </cell>
          <cell r="I3126">
            <v>31</v>
          </cell>
          <cell r="J3126">
            <v>34</v>
          </cell>
          <cell r="L3126">
            <v>0</v>
          </cell>
        </row>
        <row r="3127">
          <cell r="B3127">
            <v>2021</v>
          </cell>
          <cell r="C3127">
            <v>10</v>
          </cell>
          <cell r="E3127" t="str">
            <v>MIN</v>
          </cell>
          <cell r="I3127">
            <v>27</v>
          </cell>
          <cell r="J3127">
            <v>20</v>
          </cell>
          <cell r="L3127">
            <v>0</v>
          </cell>
        </row>
        <row r="3128">
          <cell r="B3128">
            <v>2021</v>
          </cell>
          <cell r="C3128">
            <v>11</v>
          </cell>
          <cell r="E3128" t="str">
            <v>MIN</v>
          </cell>
          <cell r="I3128">
            <v>34</v>
          </cell>
          <cell r="J3128">
            <v>31</v>
          </cell>
          <cell r="L3128">
            <v>0</v>
          </cell>
        </row>
        <row r="3129">
          <cell r="B3129">
            <v>2021</v>
          </cell>
          <cell r="C3129">
            <v>12</v>
          </cell>
          <cell r="E3129" t="str">
            <v>MIN</v>
          </cell>
          <cell r="I3129">
            <v>26</v>
          </cell>
          <cell r="J3129">
            <v>34</v>
          </cell>
          <cell r="L3129">
            <v>0</v>
          </cell>
        </row>
        <row r="3130">
          <cell r="B3130">
            <v>2021</v>
          </cell>
          <cell r="C3130">
            <v>13</v>
          </cell>
          <cell r="E3130" t="str">
            <v>MIN</v>
          </cell>
          <cell r="I3130">
            <v>27</v>
          </cell>
          <cell r="J3130">
            <v>29</v>
          </cell>
          <cell r="L3130">
            <v>0</v>
          </cell>
        </row>
        <row r="3131">
          <cell r="B3131">
            <v>2021</v>
          </cell>
          <cell r="C3131">
            <v>14</v>
          </cell>
          <cell r="E3131" t="str">
            <v>MIN</v>
          </cell>
          <cell r="I3131">
            <v>36</v>
          </cell>
          <cell r="J3131">
            <v>28</v>
          </cell>
          <cell r="L3131">
            <v>0</v>
          </cell>
        </row>
        <row r="3132">
          <cell r="B3132">
            <v>2021</v>
          </cell>
          <cell r="C3132">
            <v>15</v>
          </cell>
          <cell r="E3132" t="str">
            <v>MIN</v>
          </cell>
          <cell r="I3132">
            <v>17</v>
          </cell>
          <cell r="J3132">
            <v>9</v>
          </cell>
          <cell r="L3132">
            <v>0</v>
          </cell>
        </row>
        <row r="3133">
          <cell r="B3133">
            <v>2021</v>
          </cell>
          <cell r="C3133">
            <v>16</v>
          </cell>
          <cell r="E3133" t="str">
            <v>MIN</v>
          </cell>
          <cell r="I3133">
            <v>23</v>
          </cell>
          <cell r="J3133">
            <v>30</v>
          </cell>
          <cell r="L3133">
            <v>0</v>
          </cell>
        </row>
        <row r="3134">
          <cell r="B3134">
            <v>2021</v>
          </cell>
          <cell r="C3134">
            <v>17</v>
          </cell>
          <cell r="E3134" t="str">
            <v>MIN</v>
          </cell>
          <cell r="I3134">
            <v>10</v>
          </cell>
          <cell r="J3134">
            <v>37</v>
          </cell>
          <cell r="L3134">
            <v>0</v>
          </cell>
        </row>
        <row r="3135">
          <cell r="B3135">
            <v>2021</v>
          </cell>
          <cell r="C3135">
            <v>18</v>
          </cell>
          <cell r="E3135" t="str">
            <v>MIN</v>
          </cell>
          <cell r="I3135">
            <v>31</v>
          </cell>
          <cell r="J3135">
            <v>17</v>
          </cell>
          <cell r="L3135">
            <v>0</v>
          </cell>
        </row>
        <row r="3136">
          <cell r="B3136">
            <v>2022</v>
          </cell>
          <cell r="C3136">
            <v>1</v>
          </cell>
          <cell r="E3136" t="str">
            <v>MIN</v>
          </cell>
          <cell r="I3136">
            <v>23</v>
          </cell>
          <cell r="J3136">
            <v>7</v>
          </cell>
          <cell r="L3136">
            <v>0</v>
          </cell>
        </row>
        <row r="3137">
          <cell r="B3137">
            <v>2022</v>
          </cell>
          <cell r="C3137">
            <v>2</v>
          </cell>
          <cell r="E3137" t="str">
            <v>MIN</v>
          </cell>
          <cell r="I3137">
            <v>7</v>
          </cell>
          <cell r="J3137">
            <v>24</v>
          </cell>
          <cell r="L3137">
            <v>0</v>
          </cell>
        </row>
        <row r="3138">
          <cell r="B3138">
            <v>2022</v>
          </cell>
          <cell r="C3138">
            <v>3</v>
          </cell>
          <cell r="E3138" t="str">
            <v>MIN</v>
          </cell>
          <cell r="I3138">
            <v>28</v>
          </cell>
          <cell r="J3138">
            <v>24</v>
          </cell>
          <cell r="L3138">
            <v>0</v>
          </cell>
        </row>
        <row r="3139">
          <cell r="B3139">
            <v>2022</v>
          </cell>
          <cell r="C3139">
            <v>4</v>
          </cell>
          <cell r="E3139" t="str">
            <v>MIN</v>
          </cell>
          <cell r="I3139">
            <v>28</v>
          </cell>
          <cell r="J3139">
            <v>25</v>
          </cell>
          <cell r="L3139">
            <v>0</v>
          </cell>
        </row>
        <row r="3140">
          <cell r="B3140">
            <v>2022</v>
          </cell>
          <cell r="C3140">
            <v>5</v>
          </cell>
          <cell r="E3140" t="str">
            <v>MIN</v>
          </cell>
          <cell r="I3140">
            <v>29</v>
          </cell>
          <cell r="J3140">
            <v>22</v>
          </cell>
          <cell r="L3140">
            <v>0</v>
          </cell>
        </row>
        <row r="3141">
          <cell r="B3141">
            <v>2022</v>
          </cell>
          <cell r="C3141">
            <v>6</v>
          </cell>
          <cell r="E3141" t="str">
            <v>MIN</v>
          </cell>
          <cell r="I3141">
            <v>24</v>
          </cell>
          <cell r="J3141">
            <v>16</v>
          </cell>
          <cell r="L3141">
            <v>0</v>
          </cell>
        </row>
        <row r="3142">
          <cell r="B3142">
            <v>2022</v>
          </cell>
          <cell r="C3142">
            <v>8</v>
          </cell>
          <cell r="E3142" t="str">
            <v>MIN</v>
          </cell>
          <cell r="I3142">
            <v>34</v>
          </cell>
          <cell r="J3142">
            <v>26</v>
          </cell>
          <cell r="L3142">
            <v>0</v>
          </cell>
        </row>
        <row r="3143">
          <cell r="B3143">
            <v>2022</v>
          </cell>
          <cell r="C3143">
            <v>9</v>
          </cell>
          <cell r="E3143" t="str">
            <v>MIN</v>
          </cell>
          <cell r="I3143">
            <v>20</v>
          </cell>
          <cell r="J3143">
            <v>17</v>
          </cell>
          <cell r="L3143">
            <v>0</v>
          </cell>
        </row>
        <row r="3144">
          <cell r="B3144">
            <v>2022</v>
          </cell>
          <cell r="C3144">
            <v>10</v>
          </cell>
          <cell r="E3144" t="str">
            <v>MIN</v>
          </cell>
          <cell r="I3144">
            <v>33</v>
          </cell>
          <cell r="J3144">
            <v>30</v>
          </cell>
          <cell r="L3144">
            <v>0</v>
          </cell>
        </row>
        <row r="3145">
          <cell r="B3145">
            <v>2022</v>
          </cell>
          <cell r="C3145">
            <v>11</v>
          </cell>
          <cell r="E3145" t="str">
            <v>MIN</v>
          </cell>
          <cell r="I3145">
            <v>3</v>
          </cell>
          <cell r="J3145">
            <v>40</v>
          </cell>
          <cell r="L3145">
            <v>0</v>
          </cell>
        </row>
        <row r="3146">
          <cell r="B3146">
            <v>2022</v>
          </cell>
          <cell r="C3146">
            <v>12</v>
          </cell>
          <cell r="E3146" t="str">
            <v>MIN</v>
          </cell>
          <cell r="I3146">
            <v>33</v>
          </cell>
          <cell r="J3146">
            <v>26</v>
          </cell>
          <cell r="L3146">
            <v>0</v>
          </cell>
        </row>
        <row r="3147">
          <cell r="B3147">
            <v>2022</v>
          </cell>
          <cell r="C3147">
            <v>13</v>
          </cell>
          <cell r="E3147" t="str">
            <v>MIN</v>
          </cell>
          <cell r="I3147">
            <v>27</v>
          </cell>
          <cell r="J3147">
            <v>22</v>
          </cell>
          <cell r="L3147">
            <v>0</v>
          </cell>
        </row>
        <row r="3148">
          <cell r="B3148">
            <v>2022</v>
          </cell>
          <cell r="C3148">
            <v>14</v>
          </cell>
          <cell r="E3148" t="str">
            <v>MIN</v>
          </cell>
          <cell r="I3148">
            <v>23</v>
          </cell>
          <cell r="J3148">
            <v>34</v>
          </cell>
          <cell r="L3148">
            <v>0</v>
          </cell>
        </row>
        <row r="3149">
          <cell r="B3149">
            <v>2022</v>
          </cell>
          <cell r="C3149">
            <v>15</v>
          </cell>
          <cell r="E3149" t="str">
            <v>MIN</v>
          </cell>
          <cell r="I3149">
            <v>39</v>
          </cell>
          <cell r="J3149">
            <v>36</v>
          </cell>
          <cell r="L3149">
            <v>0</v>
          </cell>
        </row>
        <row r="3150">
          <cell r="B3150">
            <v>2022</v>
          </cell>
          <cell r="C3150">
            <v>16</v>
          </cell>
          <cell r="E3150" t="str">
            <v>MIN</v>
          </cell>
          <cell r="I3150">
            <v>27</v>
          </cell>
          <cell r="J3150">
            <v>24</v>
          </cell>
          <cell r="L3150">
            <v>0</v>
          </cell>
        </row>
        <row r="3151">
          <cell r="B3151">
            <v>2022</v>
          </cell>
          <cell r="C3151">
            <v>17</v>
          </cell>
          <cell r="E3151" t="str">
            <v>MIN</v>
          </cell>
          <cell r="I3151">
            <v>17</v>
          </cell>
          <cell r="J3151">
            <v>41</v>
          </cell>
          <cell r="L3151">
            <v>0</v>
          </cell>
        </row>
        <row r="3152">
          <cell r="B3152">
            <v>2022</v>
          </cell>
          <cell r="C3152">
            <v>18</v>
          </cell>
          <cell r="E3152" t="str">
            <v>MIN</v>
          </cell>
          <cell r="I3152">
            <v>29</v>
          </cell>
          <cell r="J3152">
            <v>13</v>
          </cell>
          <cell r="L3152">
            <v>0</v>
          </cell>
        </row>
        <row r="3153">
          <cell r="B3153">
            <v>2022</v>
          </cell>
          <cell r="C3153">
            <v>1</v>
          </cell>
          <cell r="E3153" t="str">
            <v>MIN</v>
          </cell>
          <cell r="I3153">
            <v>24</v>
          </cell>
          <cell r="J3153">
            <v>31</v>
          </cell>
          <cell r="L3153">
            <v>1</v>
          </cell>
        </row>
        <row r="3154">
          <cell r="B3154">
            <v>2023</v>
          </cell>
          <cell r="C3154">
            <v>1</v>
          </cell>
          <cell r="E3154" t="str">
            <v>MIN</v>
          </cell>
          <cell r="I3154">
            <v>17</v>
          </cell>
          <cell r="J3154">
            <v>20</v>
          </cell>
          <cell r="L3154">
            <v>0</v>
          </cell>
        </row>
        <row r="3155">
          <cell r="B3155">
            <v>2023</v>
          </cell>
          <cell r="C3155">
            <v>2</v>
          </cell>
          <cell r="E3155" t="str">
            <v>MIN</v>
          </cell>
          <cell r="I3155">
            <v>28</v>
          </cell>
          <cell r="J3155">
            <v>34</v>
          </cell>
          <cell r="L3155">
            <v>0</v>
          </cell>
        </row>
        <row r="3156">
          <cell r="B3156">
            <v>2023</v>
          </cell>
          <cell r="C3156">
            <v>3</v>
          </cell>
          <cell r="E3156" t="str">
            <v>MIN</v>
          </cell>
          <cell r="I3156">
            <v>24</v>
          </cell>
          <cell r="J3156">
            <v>28</v>
          </cell>
          <cell r="L3156">
            <v>0</v>
          </cell>
        </row>
        <row r="3157">
          <cell r="B3157">
            <v>2023</v>
          </cell>
          <cell r="C3157">
            <v>4</v>
          </cell>
          <cell r="E3157" t="str">
            <v>MIN</v>
          </cell>
          <cell r="I3157">
            <v>21</v>
          </cell>
          <cell r="J3157">
            <v>13</v>
          </cell>
          <cell r="L3157">
            <v>0</v>
          </cell>
        </row>
        <row r="3158">
          <cell r="B3158">
            <v>2023</v>
          </cell>
          <cell r="C3158">
            <v>5</v>
          </cell>
          <cell r="E3158" t="str">
            <v>MIN</v>
          </cell>
          <cell r="I3158">
            <v>20</v>
          </cell>
          <cell r="J3158">
            <v>27</v>
          </cell>
          <cell r="L3158">
            <v>0</v>
          </cell>
        </row>
        <row r="3159">
          <cell r="B3159">
            <v>2023</v>
          </cell>
          <cell r="C3159">
            <v>6</v>
          </cell>
          <cell r="E3159" t="str">
            <v>MIN</v>
          </cell>
          <cell r="I3159">
            <v>19</v>
          </cell>
          <cell r="J3159">
            <v>13</v>
          </cell>
          <cell r="L3159">
            <v>0</v>
          </cell>
        </row>
        <row r="3160">
          <cell r="B3160">
            <v>2023</v>
          </cell>
          <cell r="C3160">
            <v>7</v>
          </cell>
          <cell r="E3160" t="str">
            <v>MIN</v>
          </cell>
          <cell r="I3160">
            <v>22</v>
          </cell>
          <cell r="J3160">
            <v>17</v>
          </cell>
          <cell r="L3160">
            <v>0</v>
          </cell>
        </row>
        <row r="3161">
          <cell r="B3161">
            <v>2023</v>
          </cell>
          <cell r="C3161">
            <v>8</v>
          </cell>
          <cell r="E3161" t="str">
            <v>MIN</v>
          </cell>
          <cell r="I3161">
            <v>24</v>
          </cell>
          <cell r="J3161">
            <v>10</v>
          </cell>
          <cell r="L3161">
            <v>0</v>
          </cell>
        </row>
        <row r="3162">
          <cell r="B3162">
            <v>2023</v>
          </cell>
          <cell r="C3162">
            <v>9</v>
          </cell>
          <cell r="E3162" t="str">
            <v>MIN</v>
          </cell>
          <cell r="I3162">
            <v>31</v>
          </cell>
          <cell r="J3162">
            <v>28</v>
          </cell>
          <cell r="L3162">
            <v>0</v>
          </cell>
        </row>
        <row r="3163">
          <cell r="B3163">
            <v>2023</v>
          </cell>
          <cell r="C3163">
            <v>10</v>
          </cell>
          <cell r="E3163" t="str">
            <v>MIN</v>
          </cell>
          <cell r="I3163">
            <v>27</v>
          </cell>
          <cell r="J3163">
            <v>19</v>
          </cell>
          <cell r="L3163">
            <v>0</v>
          </cell>
        </row>
        <row r="3164">
          <cell r="B3164">
            <v>2023</v>
          </cell>
          <cell r="C3164">
            <v>11</v>
          </cell>
          <cell r="E3164" t="str">
            <v>MIN</v>
          </cell>
          <cell r="I3164">
            <v>20</v>
          </cell>
          <cell r="J3164">
            <v>21</v>
          </cell>
          <cell r="L3164">
            <v>0</v>
          </cell>
        </row>
        <row r="3165">
          <cell r="B3165">
            <v>2023</v>
          </cell>
          <cell r="C3165">
            <v>12</v>
          </cell>
          <cell r="E3165" t="str">
            <v>MIN</v>
          </cell>
          <cell r="I3165">
            <v>10</v>
          </cell>
          <cell r="J3165">
            <v>12</v>
          </cell>
          <cell r="L3165">
            <v>0</v>
          </cell>
        </row>
        <row r="3166">
          <cell r="B3166">
            <v>2023</v>
          </cell>
          <cell r="C3166">
            <v>14</v>
          </cell>
          <cell r="E3166" t="str">
            <v>MIN</v>
          </cell>
          <cell r="I3166">
            <v>3</v>
          </cell>
          <cell r="J3166">
            <v>0</v>
          </cell>
          <cell r="L3166">
            <v>0</v>
          </cell>
        </row>
        <row r="3167">
          <cell r="B3167">
            <v>2023</v>
          </cell>
          <cell r="C3167">
            <v>15</v>
          </cell>
          <cell r="E3167" t="str">
            <v>MIN</v>
          </cell>
          <cell r="I3167">
            <v>24</v>
          </cell>
          <cell r="J3167">
            <v>27</v>
          </cell>
          <cell r="L3167">
            <v>0</v>
          </cell>
        </row>
        <row r="3168">
          <cell r="B3168">
            <v>2023</v>
          </cell>
          <cell r="C3168">
            <v>16</v>
          </cell>
          <cell r="E3168" t="str">
            <v>MIN</v>
          </cell>
          <cell r="I3168">
            <v>24</v>
          </cell>
          <cell r="J3168">
            <v>30</v>
          </cell>
          <cell r="L3168">
            <v>0</v>
          </cell>
        </row>
        <row r="3169">
          <cell r="B3169">
            <v>2023</v>
          </cell>
          <cell r="C3169">
            <v>17</v>
          </cell>
          <cell r="E3169" t="str">
            <v>MIN</v>
          </cell>
          <cell r="I3169">
            <v>10</v>
          </cell>
          <cell r="J3169">
            <v>33</v>
          </cell>
          <cell r="L3169">
            <v>0</v>
          </cell>
        </row>
        <row r="3170">
          <cell r="B3170">
            <v>2023</v>
          </cell>
          <cell r="C3170">
            <v>18</v>
          </cell>
          <cell r="E3170" t="str">
            <v>MIN</v>
          </cell>
          <cell r="I3170">
            <v>20</v>
          </cell>
          <cell r="J3170">
            <v>30</v>
          </cell>
          <cell r="L3170">
            <v>0</v>
          </cell>
        </row>
        <row r="3171">
          <cell r="B3171">
            <v>2024</v>
          </cell>
          <cell r="C3171">
            <v>1</v>
          </cell>
          <cell r="E3171" t="str">
            <v>MIN</v>
          </cell>
          <cell r="I3171">
            <v>28</v>
          </cell>
          <cell r="J3171">
            <v>6</v>
          </cell>
          <cell r="L3171">
            <v>0</v>
          </cell>
        </row>
        <row r="3172">
          <cell r="B3172">
            <v>2024</v>
          </cell>
          <cell r="C3172">
            <v>2</v>
          </cell>
          <cell r="E3172" t="str">
            <v>MIN</v>
          </cell>
          <cell r="I3172">
            <v>23</v>
          </cell>
          <cell r="J3172">
            <v>17</v>
          </cell>
          <cell r="L3172">
            <v>0</v>
          </cell>
        </row>
        <row r="3173">
          <cell r="B3173">
            <v>2024</v>
          </cell>
          <cell r="C3173">
            <v>3</v>
          </cell>
          <cell r="E3173" t="str">
            <v>MIN</v>
          </cell>
          <cell r="I3173">
            <v>34</v>
          </cell>
          <cell r="J3173">
            <v>7</v>
          </cell>
          <cell r="L3173">
            <v>0</v>
          </cell>
        </row>
        <row r="3174">
          <cell r="B3174">
            <v>2024</v>
          </cell>
          <cell r="C3174">
            <v>4</v>
          </cell>
          <cell r="E3174" t="str">
            <v>MIN</v>
          </cell>
          <cell r="I3174">
            <v>31</v>
          </cell>
          <cell r="J3174">
            <v>29</v>
          </cell>
          <cell r="L3174">
            <v>0</v>
          </cell>
        </row>
        <row r="3175">
          <cell r="B3175">
            <v>2024</v>
          </cell>
          <cell r="C3175">
            <v>5</v>
          </cell>
          <cell r="E3175" t="str">
            <v>MIN</v>
          </cell>
          <cell r="I3175">
            <v>23</v>
          </cell>
          <cell r="J3175">
            <v>17</v>
          </cell>
          <cell r="L3175">
            <v>0</v>
          </cell>
        </row>
        <row r="3176">
          <cell r="B3176">
            <v>2024</v>
          </cell>
          <cell r="C3176">
            <v>7</v>
          </cell>
          <cell r="E3176" t="str">
            <v>MIN</v>
          </cell>
          <cell r="I3176">
            <v>29</v>
          </cell>
          <cell r="J3176">
            <v>31</v>
          </cell>
          <cell r="L3176">
            <v>0</v>
          </cell>
        </row>
        <row r="3177">
          <cell r="B3177">
            <v>2024</v>
          </cell>
          <cell r="C3177">
            <v>8</v>
          </cell>
          <cell r="E3177" t="str">
            <v>MIN</v>
          </cell>
          <cell r="I3177">
            <v>20</v>
          </cell>
          <cell r="J3177">
            <v>30</v>
          </cell>
          <cell r="L3177">
            <v>0</v>
          </cell>
        </row>
        <row r="3178">
          <cell r="B3178">
            <v>2024</v>
          </cell>
          <cell r="C3178">
            <v>9</v>
          </cell>
          <cell r="E3178" t="str">
            <v>MIN</v>
          </cell>
          <cell r="I3178">
            <v>21</v>
          </cell>
          <cell r="J3178">
            <v>13</v>
          </cell>
          <cell r="L3178">
            <v>0</v>
          </cell>
        </row>
        <row r="3179">
          <cell r="B3179">
            <v>2024</v>
          </cell>
          <cell r="C3179">
            <v>10</v>
          </cell>
          <cell r="E3179" t="str">
            <v>MIN</v>
          </cell>
          <cell r="I3179">
            <v>12</v>
          </cell>
          <cell r="J3179">
            <v>7</v>
          </cell>
          <cell r="L3179">
            <v>0</v>
          </cell>
        </row>
        <row r="3180">
          <cell r="B3180">
            <v>2024</v>
          </cell>
          <cell r="C3180">
            <v>11</v>
          </cell>
          <cell r="E3180" t="str">
            <v>MIN</v>
          </cell>
          <cell r="I3180">
            <v>23</v>
          </cell>
          <cell r="J3180">
            <v>13</v>
          </cell>
          <cell r="L3180">
            <v>0</v>
          </cell>
        </row>
        <row r="3181">
          <cell r="B3181">
            <v>2024</v>
          </cell>
          <cell r="C3181">
            <v>12</v>
          </cell>
          <cell r="E3181" t="str">
            <v>MIN</v>
          </cell>
          <cell r="I3181">
            <v>30</v>
          </cell>
          <cell r="J3181">
            <v>27</v>
          </cell>
          <cell r="L3181">
            <v>0</v>
          </cell>
        </row>
        <row r="3182">
          <cell r="B3182">
            <v>2024</v>
          </cell>
          <cell r="C3182">
            <v>13</v>
          </cell>
          <cell r="E3182" t="str">
            <v>MIN</v>
          </cell>
          <cell r="I3182">
            <v>23</v>
          </cell>
          <cell r="J3182">
            <v>22</v>
          </cell>
          <cell r="L3182">
            <v>0</v>
          </cell>
        </row>
        <row r="3183">
          <cell r="B3183">
            <v>2024</v>
          </cell>
          <cell r="C3183">
            <v>14</v>
          </cell>
          <cell r="E3183" t="str">
            <v>MIN</v>
          </cell>
          <cell r="I3183">
            <v>42</v>
          </cell>
          <cell r="J3183">
            <v>21</v>
          </cell>
          <cell r="L3183">
            <v>0</v>
          </cell>
        </row>
        <row r="3184">
          <cell r="B3184">
            <v>2024</v>
          </cell>
          <cell r="C3184">
            <v>15</v>
          </cell>
          <cell r="E3184" t="str">
            <v>MIN</v>
          </cell>
          <cell r="I3184">
            <v>30</v>
          </cell>
          <cell r="J3184">
            <v>12</v>
          </cell>
          <cell r="L3184">
            <v>0</v>
          </cell>
        </row>
        <row r="3185">
          <cell r="B3185">
            <v>2024</v>
          </cell>
          <cell r="C3185">
            <v>16</v>
          </cell>
          <cell r="E3185" t="str">
            <v>MIN</v>
          </cell>
          <cell r="I3185">
            <v>27</v>
          </cell>
          <cell r="J3185">
            <v>24</v>
          </cell>
          <cell r="L3185">
            <v>0</v>
          </cell>
        </row>
        <row r="3186">
          <cell r="B3186">
            <v>2024</v>
          </cell>
          <cell r="C3186">
            <v>17</v>
          </cell>
          <cell r="E3186" t="str">
            <v>MIN</v>
          </cell>
          <cell r="I3186">
            <v>27</v>
          </cell>
          <cell r="J3186">
            <v>25</v>
          </cell>
          <cell r="L3186">
            <v>0</v>
          </cell>
        </row>
        <row r="3187">
          <cell r="B3187">
            <v>2024</v>
          </cell>
          <cell r="C3187">
            <v>18</v>
          </cell>
          <cell r="E3187" t="str">
            <v>MIN</v>
          </cell>
          <cell r="I3187">
            <v>9</v>
          </cell>
          <cell r="J3187">
            <v>31</v>
          </cell>
          <cell r="L3187">
            <v>0</v>
          </cell>
        </row>
        <row r="3188">
          <cell r="B3188">
            <v>2024</v>
          </cell>
          <cell r="C3188">
            <v>1</v>
          </cell>
          <cell r="E3188" t="str">
            <v>MIN</v>
          </cell>
          <cell r="I3188">
            <v>9</v>
          </cell>
          <cell r="J3188">
            <v>27</v>
          </cell>
          <cell r="L3188">
            <v>1</v>
          </cell>
        </row>
        <row r="3189">
          <cell r="B3189">
            <v>2025</v>
          </cell>
          <cell r="C3189">
            <v>1</v>
          </cell>
          <cell r="E3189" t="str">
            <v>MIN</v>
          </cell>
          <cell r="I3189">
            <v>27</v>
          </cell>
          <cell r="J3189">
            <v>24</v>
          </cell>
          <cell r="L3189">
            <v>0</v>
          </cell>
        </row>
        <row r="3190">
          <cell r="B3190">
            <v>2025</v>
          </cell>
          <cell r="C3190">
            <v>2</v>
          </cell>
          <cell r="E3190" t="str">
            <v>MIN</v>
          </cell>
          <cell r="I3190">
            <v>6</v>
          </cell>
          <cell r="J3190">
            <v>22</v>
          </cell>
          <cell r="L3190">
            <v>0</v>
          </cell>
        </row>
        <row r="3191">
          <cell r="B3191">
            <v>2025</v>
          </cell>
          <cell r="C3191">
            <v>3</v>
          </cell>
          <cell r="E3191" t="str">
            <v>MIN</v>
          </cell>
          <cell r="I3191">
            <v>48</v>
          </cell>
          <cell r="J3191">
            <v>10</v>
          </cell>
          <cell r="L3191">
            <v>0</v>
          </cell>
        </row>
        <row r="3192">
          <cell r="B3192">
            <v>2025</v>
          </cell>
          <cell r="C3192">
            <v>4</v>
          </cell>
          <cell r="E3192" t="str">
            <v>MIN</v>
          </cell>
          <cell r="I3192">
            <v>21</v>
          </cell>
          <cell r="J3192">
            <v>24</v>
          </cell>
          <cell r="L3192">
            <v>0</v>
          </cell>
        </row>
        <row r="3193">
          <cell r="B3193">
            <v>2025</v>
          </cell>
          <cell r="C3193">
            <v>5</v>
          </cell>
          <cell r="E3193" t="str">
            <v>MIN</v>
          </cell>
          <cell r="I3193">
            <v>21</v>
          </cell>
          <cell r="J3193">
            <v>17</v>
          </cell>
          <cell r="L3193">
            <v>0</v>
          </cell>
        </row>
        <row r="3194">
          <cell r="B3194">
            <v>2025</v>
          </cell>
          <cell r="C3194">
            <v>7</v>
          </cell>
          <cell r="E3194" t="str">
            <v>MIN</v>
          </cell>
          <cell r="I3194">
            <v>22</v>
          </cell>
          <cell r="J3194">
            <v>28</v>
          </cell>
          <cell r="L3194">
            <v>0</v>
          </cell>
        </row>
        <row r="3195">
          <cell r="B3195">
            <v>2025</v>
          </cell>
          <cell r="C3195">
            <v>8</v>
          </cell>
          <cell r="E3195" t="str">
            <v>MIN</v>
          </cell>
          <cell r="I3195">
            <v>10</v>
          </cell>
          <cell r="J3195">
            <v>37</v>
          </cell>
          <cell r="L3195">
            <v>0</v>
          </cell>
        </row>
        <row r="3196">
          <cell r="B3196">
            <v>2025</v>
          </cell>
          <cell r="C3196">
            <v>9</v>
          </cell>
          <cell r="E3196" t="str">
            <v>MIN</v>
          </cell>
          <cell r="I3196">
            <v>27</v>
          </cell>
          <cell r="J3196">
            <v>24</v>
          </cell>
          <cell r="L3196">
            <v>0</v>
          </cell>
        </row>
        <row r="3197">
          <cell r="B3197">
            <v>2025</v>
          </cell>
          <cell r="C3197">
            <v>10</v>
          </cell>
          <cell r="E3197" t="str">
            <v>MIN</v>
          </cell>
          <cell r="I3197">
            <v>19</v>
          </cell>
          <cell r="J3197">
            <v>27</v>
          </cell>
          <cell r="L3197">
            <v>0</v>
          </cell>
        </row>
        <row r="3198">
          <cell r="B3198">
            <v>2025</v>
          </cell>
          <cell r="C3198">
            <v>11</v>
          </cell>
          <cell r="E3198" t="str">
            <v>MIN</v>
          </cell>
          <cell r="I3198">
            <v>17</v>
          </cell>
          <cell r="J3198">
            <v>19</v>
          </cell>
          <cell r="L3198">
            <v>0</v>
          </cell>
        </row>
        <row r="3199">
          <cell r="B3199">
            <v>2025</v>
          </cell>
          <cell r="C3199">
            <v>12</v>
          </cell>
          <cell r="E3199" t="str">
            <v>MIN</v>
          </cell>
          <cell r="I3199">
            <v>6</v>
          </cell>
          <cell r="J3199">
            <v>23</v>
          </cell>
          <cell r="L3199">
            <v>0</v>
          </cell>
        </row>
        <row r="3200">
          <cell r="B3200">
            <v>2025</v>
          </cell>
          <cell r="C3200">
            <v>13</v>
          </cell>
          <cell r="E3200" t="str">
            <v>MIN</v>
          </cell>
          <cell r="I3200">
            <v>0</v>
          </cell>
          <cell r="J3200">
            <v>26</v>
          </cell>
          <cell r="L3200">
            <v>0</v>
          </cell>
        </row>
        <row r="3201">
          <cell r="B3201">
            <v>2025</v>
          </cell>
          <cell r="C3201">
            <v>14</v>
          </cell>
          <cell r="E3201" t="str">
            <v>MIN</v>
          </cell>
          <cell r="I3201">
            <v>31</v>
          </cell>
          <cell r="J3201">
            <v>0</v>
          </cell>
          <cell r="L3201">
            <v>0</v>
          </cell>
        </row>
        <row r="3202">
          <cell r="B3202">
            <v>2025</v>
          </cell>
          <cell r="C3202">
            <v>15</v>
          </cell>
          <cell r="E3202" t="str">
            <v>MIN</v>
          </cell>
          <cell r="I3202">
            <v>34</v>
          </cell>
          <cell r="J3202">
            <v>26</v>
          </cell>
          <cell r="L3202">
            <v>0</v>
          </cell>
        </row>
        <row r="3203">
          <cell r="B3203">
            <v>2025</v>
          </cell>
          <cell r="C3203">
            <v>16</v>
          </cell>
          <cell r="E3203" t="str">
            <v>MIN</v>
          </cell>
          <cell r="I3203">
            <v>16</v>
          </cell>
          <cell r="J3203">
            <v>13</v>
          </cell>
          <cell r="L3203">
            <v>0</v>
          </cell>
        </row>
        <row r="3204">
          <cell r="B3204">
            <v>2025</v>
          </cell>
          <cell r="C3204">
            <v>17</v>
          </cell>
          <cell r="E3204" t="str">
            <v>MIN</v>
          </cell>
          <cell r="I3204">
            <v>23</v>
          </cell>
          <cell r="J3204">
            <v>10</v>
          </cell>
          <cell r="L3204">
            <v>0</v>
          </cell>
        </row>
        <row r="3205">
          <cell r="B3205">
            <v>2025</v>
          </cell>
          <cell r="C3205">
            <v>18</v>
          </cell>
          <cell r="E3205" t="str">
            <v>MIN</v>
          </cell>
          <cell r="I3205">
            <v>16</v>
          </cell>
          <cell r="J3205">
            <v>3</v>
          </cell>
          <cell r="L3205">
            <v>0</v>
          </cell>
        </row>
        <row r="3206">
          <cell r="B3206">
            <v>2026</v>
          </cell>
          <cell r="C3206">
            <v>1</v>
          </cell>
          <cell r="E3206" t="str">
            <v>MIN</v>
          </cell>
          <cell r="I3206">
            <v>39</v>
          </cell>
          <cell r="J3206">
            <v>22</v>
          </cell>
          <cell r="L3206">
            <v>0</v>
          </cell>
        </row>
        <row r="3207">
          <cell r="B3207">
            <v>2026</v>
          </cell>
          <cell r="C3207">
            <v>2</v>
          </cell>
          <cell r="E3207" t="str">
            <v>MIN</v>
          </cell>
          <cell r="I3207">
            <v>9</v>
          </cell>
          <cell r="J3207">
            <v>3</v>
          </cell>
          <cell r="L3207">
            <v>0</v>
          </cell>
        </row>
        <row r="3208">
          <cell r="B3208">
            <v>2026</v>
          </cell>
          <cell r="C3208">
            <v>3</v>
          </cell>
          <cell r="E3208" t="str">
            <v>MIN</v>
          </cell>
          <cell r="I3208">
            <v>23</v>
          </cell>
          <cell r="J3208">
            <v>16</v>
          </cell>
          <cell r="L3208">
            <v>0</v>
          </cell>
        </row>
        <row r="3209">
          <cell r="B3209">
            <v>2026</v>
          </cell>
          <cell r="C3209">
            <v>4</v>
          </cell>
          <cell r="E3209" t="str">
            <v>MIN</v>
          </cell>
          <cell r="I3209">
            <v>15</v>
          </cell>
          <cell r="J3209">
            <v>10</v>
          </cell>
          <cell r="L3209">
            <v>0</v>
          </cell>
        </row>
        <row r="3210">
          <cell r="B3210">
            <v>2026</v>
          </cell>
          <cell r="C3210">
            <v>5</v>
          </cell>
          <cell r="E3210" t="str">
            <v>MIN</v>
          </cell>
          <cell r="I3210">
            <v>23</v>
          </cell>
          <cell r="J3210">
            <v>13</v>
          </cell>
          <cell r="L3210">
            <v>0</v>
          </cell>
        </row>
        <row r="3211">
          <cell r="B3211">
            <v>2026</v>
          </cell>
          <cell r="C3211">
            <v>7</v>
          </cell>
          <cell r="E3211" t="str">
            <v>MIN</v>
          </cell>
          <cell r="L3211">
            <v>0</v>
          </cell>
        </row>
        <row r="3212">
          <cell r="B3212">
            <v>2018</v>
          </cell>
          <cell r="C3212">
            <v>1</v>
          </cell>
          <cell r="E3212" t="str">
            <v>CHI</v>
          </cell>
          <cell r="I3212">
            <v>23</v>
          </cell>
          <cell r="J3212">
            <v>24</v>
          </cell>
          <cell r="L3212">
            <v>0</v>
          </cell>
        </row>
        <row r="3213">
          <cell r="B3213">
            <v>2018</v>
          </cell>
          <cell r="C3213">
            <v>2</v>
          </cell>
          <cell r="E3213" t="str">
            <v>CHI</v>
          </cell>
          <cell r="I3213">
            <v>24</v>
          </cell>
          <cell r="J3213">
            <v>17</v>
          </cell>
          <cell r="L3213">
            <v>0</v>
          </cell>
        </row>
        <row r="3214">
          <cell r="B3214">
            <v>2018</v>
          </cell>
          <cell r="C3214">
            <v>3</v>
          </cell>
          <cell r="E3214" t="str">
            <v>CHI</v>
          </cell>
          <cell r="I3214">
            <v>16</v>
          </cell>
          <cell r="J3214">
            <v>14</v>
          </cell>
          <cell r="L3214">
            <v>0</v>
          </cell>
        </row>
        <row r="3215">
          <cell r="B3215">
            <v>2018</v>
          </cell>
          <cell r="C3215">
            <v>4</v>
          </cell>
          <cell r="E3215" t="str">
            <v>CHI</v>
          </cell>
          <cell r="I3215">
            <v>48</v>
          </cell>
          <cell r="J3215">
            <v>10</v>
          </cell>
          <cell r="L3215">
            <v>0</v>
          </cell>
        </row>
        <row r="3216">
          <cell r="B3216">
            <v>2018</v>
          </cell>
          <cell r="C3216">
            <v>6</v>
          </cell>
          <cell r="E3216" t="str">
            <v>CHI</v>
          </cell>
          <cell r="I3216">
            <v>28</v>
          </cell>
          <cell r="J3216">
            <v>31</v>
          </cell>
          <cell r="L3216">
            <v>0</v>
          </cell>
        </row>
        <row r="3217">
          <cell r="B3217">
            <v>2018</v>
          </cell>
          <cell r="C3217">
            <v>7</v>
          </cell>
          <cell r="E3217" t="str">
            <v>CHI</v>
          </cell>
          <cell r="I3217">
            <v>31</v>
          </cell>
          <cell r="J3217">
            <v>38</v>
          </cell>
          <cell r="L3217">
            <v>0</v>
          </cell>
        </row>
        <row r="3218">
          <cell r="B3218">
            <v>2018</v>
          </cell>
          <cell r="C3218">
            <v>8</v>
          </cell>
          <cell r="E3218" t="str">
            <v>CHI</v>
          </cell>
          <cell r="I3218">
            <v>24</v>
          </cell>
          <cell r="J3218">
            <v>10</v>
          </cell>
          <cell r="L3218">
            <v>0</v>
          </cell>
        </row>
        <row r="3219">
          <cell r="B3219">
            <v>2018</v>
          </cell>
          <cell r="C3219">
            <v>9</v>
          </cell>
          <cell r="E3219" t="str">
            <v>CHI</v>
          </cell>
          <cell r="I3219">
            <v>41</v>
          </cell>
          <cell r="J3219">
            <v>9</v>
          </cell>
          <cell r="L3219">
            <v>0</v>
          </cell>
        </row>
        <row r="3220">
          <cell r="B3220">
            <v>2018</v>
          </cell>
          <cell r="C3220">
            <v>10</v>
          </cell>
          <cell r="E3220" t="str">
            <v>CHI</v>
          </cell>
          <cell r="I3220">
            <v>34</v>
          </cell>
          <cell r="J3220">
            <v>22</v>
          </cell>
          <cell r="L3220">
            <v>0</v>
          </cell>
        </row>
        <row r="3221">
          <cell r="B3221">
            <v>2018</v>
          </cell>
          <cell r="C3221">
            <v>11</v>
          </cell>
          <cell r="E3221" t="str">
            <v>CHI</v>
          </cell>
          <cell r="I3221">
            <v>25</v>
          </cell>
          <cell r="J3221">
            <v>20</v>
          </cell>
          <cell r="L3221">
            <v>0</v>
          </cell>
        </row>
        <row r="3222">
          <cell r="B3222">
            <v>2018</v>
          </cell>
          <cell r="C3222">
            <v>12</v>
          </cell>
          <cell r="E3222" t="str">
            <v>CHI</v>
          </cell>
          <cell r="I3222">
            <v>23</v>
          </cell>
          <cell r="J3222">
            <v>16</v>
          </cell>
          <cell r="L3222">
            <v>0</v>
          </cell>
        </row>
        <row r="3223">
          <cell r="B3223">
            <v>2018</v>
          </cell>
          <cell r="C3223">
            <v>13</v>
          </cell>
          <cell r="E3223" t="str">
            <v>CHI</v>
          </cell>
          <cell r="I3223">
            <v>27</v>
          </cell>
          <cell r="J3223">
            <v>30</v>
          </cell>
          <cell r="L3223">
            <v>0</v>
          </cell>
        </row>
        <row r="3224">
          <cell r="B3224">
            <v>2018</v>
          </cell>
          <cell r="C3224">
            <v>14</v>
          </cell>
          <cell r="E3224" t="str">
            <v>CHI</v>
          </cell>
          <cell r="I3224">
            <v>15</v>
          </cell>
          <cell r="J3224">
            <v>6</v>
          </cell>
          <cell r="L3224">
            <v>0</v>
          </cell>
        </row>
        <row r="3225">
          <cell r="B3225">
            <v>2018</v>
          </cell>
          <cell r="C3225">
            <v>15</v>
          </cell>
          <cell r="E3225" t="str">
            <v>CHI</v>
          </cell>
          <cell r="I3225">
            <v>24</v>
          </cell>
          <cell r="J3225">
            <v>17</v>
          </cell>
          <cell r="L3225">
            <v>0</v>
          </cell>
        </row>
        <row r="3226">
          <cell r="B3226">
            <v>2018</v>
          </cell>
          <cell r="C3226">
            <v>16</v>
          </cell>
          <cell r="E3226" t="str">
            <v>CHI</v>
          </cell>
          <cell r="I3226">
            <v>14</v>
          </cell>
          <cell r="J3226">
            <v>9</v>
          </cell>
          <cell r="L3226">
            <v>0</v>
          </cell>
        </row>
        <row r="3227">
          <cell r="B3227">
            <v>2018</v>
          </cell>
          <cell r="C3227">
            <v>17</v>
          </cell>
          <cell r="E3227" t="str">
            <v>CHI</v>
          </cell>
          <cell r="I3227">
            <v>24</v>
          </cell>
          <cell r="J3227">
            <v>10</v>
          </cell>
          <cell r="L3227">
            <v>0</v>
          </cell>
        </row>
        <row r="3228">
          <cell r="B3228">
            <v>2018</v>
          </cell>
          <cell r="C3228">
            <v>1</v>
          </cell>
          <cell r="E3228" t="str">
            <v>CHI</v>
          </cell>
          <cell r="I3228">
            <v>15</v>
          </cell>
          <cell r="J3228">
            <v>16</v>
          </cell>
          <cell r="L3228">
            <v>1</v>
          </cell>
        </row>
        <row r="3229">
          <cell r="B3229">
            <v>2019</v>
          </cell>
          <cell r="C3229">
            <v>1</v>
          </cell>
          <cell r="E3229" t="str">
            <v>CHI</v>
          </cell>
          <cell r="I3229">
            <v>3</v>
          </cell>
          <cell r="J3229">
            <v>10</v>
          </cell>
          <cell r="L3229">
            <v>0</v>
          </cell>
        </row>
        <row r="3230">
          <cell r="B3230">
            <v>2019</v>
          </cell>
          <cell r="C3230">
            <v>2</v>
          </cell>
          <cell r="E3230" t="str">
            <v>CHI</v>
          </cell>
          <cell r="I3230">
            <v>16</v>
          </cell>
          <cell r="J3230">
            <v>14</v>
          </cell>
          <cell r="L3230">
            <v>0</v>
          </cell>
        </row>
        <row r="3231">
          <cell r="B3231">
            <v>2019</v>
          </cell>
          <cell r="C3231">
            <v>3</v>
          </cell>
          <cell r="E3231" t="str">
            <v>CHI</v>
          </cell>
          <cell r="I3231">
            <v>31</v>
          </cell>
          <cell r="J3231">
            <v>15</v>
          </cell>
          <cell r="L3231">
            <v>0</v>
          </cell>
        </row>
        <row r="3232">
          <cell r="B3232">
            <v>2019</v>
          </cell>
          <cell r="C3232">
            <v>4</v>
          </cell>
          <cell r="E3232" t="str">
            <v>CHI</v>
          </cell>
          <cell r="I3232">
            <v>16</v>
          </cell>
          <cell r="J3232">
            <v>6</v>
          </cell>
          <cell r="L3232">
            <v>0</v>
          </cell>
        </row>
        <row r="3233">
          <cell r="B3233">
            <v>2019</v>
          </cell>
          <cell r="C3233">
            <v>5</v>
          </cell>
          <cell r="E3233" t="str">
            <v>CHI</v>
          </cell>
          <cell r="I3233">
            <v>21</v>
          </cell>
          <cell r="J3233">
            <v>24</v>
          </cell>
          <cell r="L3233">
            <v>0</v>
          </cell>
        </row>
        <row r="3234">
          <cell r="B3234">
            <v>2019</v>
          </cell>
          <cell r="C3234">
            <v>7</v>
          </cell>
          <cell r="E3234" t="str">
            <v>CHI</v>
          </cell>
          <cell r="I3234">
            <v>25</v>
          </cell>
          <cell r="J3234">
            <v>36</v>
          </cell>
          <cell r="L3234">
            <v>0</v>
          </cell>
        </row>
        <row r="3235">
          <cell r="B3235">
            <v>2019</v>
          </cell>
          <cell r="C3235">
            <v>8</v>
          </cell>
          <cell r="E3235" t="str">
            <v>CHI</v>
          </cell>
          <cell r="I3235">
            <v>16</v>
          </cell>
          <cell r="J3235">
            <v>17</v>
          </cell>
          <cell r="L3235">
            <v>0</v>
          </cell>
        </row>
        <row r="3236">
          <cell r="B3236">
            <v>2019</v>
          </cell>
          <cell r="C3236">
            <v>9</v>
          </cell>
          <cell r="E3236" t="str">
            <v>CHI</v>
          </cell>
          <cell r="I3236">
            <v>14</v>
          </cell>
          <cell r="J3236">
            <v>22</v>
          </cell>
          <cell r="L3236">
            <v>0</v>
          </cell>
        </row>
        <row r="3237">
          <cell r="B3237">
            <v>2019</v>
          </cell>
          <cell r="C3237">
            <v>10</v>
          </cell>
          <cell r="E3237" t="str">
            <v>CHI</v>
          </cell>
          <cell r="I3237">
            <v>20</v>
          </cell>
          <cell r="J3237">
            <v>13</v>
          </cell>
          <cell r="L3237">
            <v>0</v>
          </cell>
        </row>
        <row r="3238">
          <cell r="B3238">
            <v>2019</v>
          </cell>
          <cell r="C3238">
            <v>11</v>
          </cell>
          <cell r="E3238" t="str">
            <v>CHI</v>
          </cell>
          <cell r="I3238">
            <v>7</v>
          </cell>
          <cell r="J3238">
            <v>17</v>
          </cell>
          <cell r="L3238">
            <v>0</v>
          </cell>
        </row>
        <row r="3239">
          <cell r="B3239">
            <v>2019</v>
          </cell>
          <cell r="C3239">
            <v>12</v>
          </cell>
          <cell r="E3239" t="str">
            <v>CHI</v>
          </cell>
          <cell r="I3239">
            <v>19</v>
          </cell>
          <cell r="J3239">
            <v>14</v>
          </cell>
          <cell r="L3239">
            <v>0</v>
          </cell>
        </row>
        <row r="3240">
          <cell r="B3240">
            <v>2019</v>
          </cell>
          <cell r="C3240">
            <v>13</v>
          </cell>
          <cell r="E3240" t="str">
            <v>CHI</v>
          </cell>
          <cell r="I3240">
            <v>24</v>
          </cell>
          <cell r="J3240">
            <v>20</v>
          </cell>
          <cell r="L3240">
            <v>0</v>
          </cell>
        </row>
        <row r="3241">
          <cell r="B3241">
            <v>2019</v>
          </cell>
          <cell r="C3241">
            <v>14</v>
          </cell>
          <cell r="E3241" t="str">
            <v>CHI</v>
          </cell>
          <cell r="I3241">
            <v>31</v>
          </cell>
          <cell r="J3241">
            <v>24</v>
          </cell>
          <cell r="L3241">
            <v>0</v>
          </cell>
        </row>
        <row r="3242">
          <cell r="B3242">
            <v>2019</v>
          </cell>
          <cell r="C3242">
            <v>15</v>
          </cell>
          <cell r="E3242" t="str">
            <v>CHI</v>
          </cell>
          <cell r="I3242">
            <v>13</v>
          </cell>
          <cell r="J3242">
            <v>21</v>
          </cell>
          <cell r="L3242">
            <v>0</v>
          </cell>
        </row>
        <row r="3243">
          <cell r="B3243">
            <v>2019</v>
          </cell>
          <cell r="C3243">
            <v>16</v>
          </cell>
          <cell r="E3243" t="str">
            <v>CHI</v>
          </cell>
          <cell r="I3243">
            <v>3</v>
          </cell>
          <cell r="J3243">
            <v>26</v>
          </cell>
          <cell r="L3243">
            <v>0</v>
          </cell>
        </row>
        <row r="3244">
          <cell r="B3244">
            <v>2019</v>
          </cell>
          <cell r="C3244">
            <v>17</v>
          </cell>
          <cell r="E3244" t="str">
            <v>CHI</v>
          </cell>
          <cell r="I3244">
            <v>21</v>
          </cell>
          <cell r="J3244">
            <v>19</v>
          </cell>
          <cell r="L3244">
            <v>0</v>
          </cell>
        </row>
        <row r="3245">
          <cell r="B3245">
            <v>2020</v>
          </cell>
          <cell r="C3245">
            <v>1</v>
          </cell>
          <cell r="E3245" t="str">
            <v>CHI</v>
          </cell>
          <cell r="I3245">
            <v>27</v>
          </cell>
          <cell r="J3245">
            <v>23</v>
          </cell>
          <cell r="L3245">
            <v>0</v>
          </cell>
        </row>
        <row r="3246">
          <cell r="B3246">
            <v>2020</v>
          </cell>
          <cell r="C3246">
            <v>2</v>
          </cell>
          <cell r="E3246" t="str">
            <v>CHI</v>
          </cell>
          <cell r="I3246">
            <v>17</v>
          </cell>
          <cell r="J3246">
            <v>13</v>
          </cell>
          <cell r="L3246">
            <v>0</v>
          </cell>
        </row>
        <row r="3247">
          <cell r="B3247">
            <v>2020</v>
          </cell>
          <cell r="C3247">
            <v>3</v>
          </cell>
          <cell r="E3247" t="str">
            <v>CHI</v>
          </cell>
          <cell r="I3247">
            <v>30</v>
          </cell>
          <cell r="J3247">
            <v>26</v>
          </cell>
          <cell r="L3247">
            <v>0</v>
          </cell>
        </row>
        <row r="3248">
          <cell r="B3248">
            <v>2020</v>
          </cell>
          <cell r="C3248">
            <v>4</v>
          </cell>
          <cell r="E3248" t="str">
            <v>CHI</v>
          </cell>
          <cell r="I3248">
            <v>11</v>
          </cell>
          <cell r="J3248">
            <v>19</v>
          </cell>
          <cell r="L3248">
            <v>0</v>
          </cell>
        </row>
        <row r="3249">
          <cell r="B3249">
            <v>2020</v>
          </cell>
          <cell r="C3249">
            <v>5</v>
          </cell>
          <cell r="E3249" t="str">
            <v>CHI</v>
          </cell>
          <cell r="I3249">
            <v>20</v>
          </cell>
          <cell r="J3249">
            <v>19</v>
          </cell>
          <cell r="L3249">
            <v>0</v>
          </cell>
        </row>
        <row r="3250">
          <cell r="B3250">
            <v>2020</v>
          </cell>
          <cell r="C3250">
            <v>6</v>
          </cell>
          <cell r="E3250" t="str">
            <v>CHI</v>
          </cell>
          <cell r="I3250">
            <v>23</v>
          </cell>
          <cell r="J3250">
            <v>16</v>
          </cell>
          <cell r="L3250">
            <v>0</v>
          </cell>
        </row>
        <row r="3251">
          <cell r="B3251">
            <v>2020</v>
          </cell>
          <cell r="C3251">
            <v>7</v>
          </cell>
          <cell r="E3251" t="str">
            <v>CHI</v>
          </cell>
          <cell r="I3251">
            <v>10</v>
          </cell>
          <cell r="J3251">
            <v>24</v>
          </cell>
          <cell r="L3251">
            <v>0</v>
          </cell>
        </row>
        <row r="3252">
          <cell r="B3252">
            <v>2020</v>
          </cell>
          <cell r="C3252">
            <v>8</v>
          </cell>
          <cell r="E3252" t="str">
            <v>CHI</v>
          </cell>
          <cell r="I3252">
            <v>23</v>
          </cell>
          <cell r="J3252">
            <v>26</v>
          </cell>
          <cell r="L3252">
            <v>0</v>
          </cell>
        </row>
        <row r="3253">
          <cell r="B3253">
            <v>2020</v>
          </cell>
          <cell r="C3253">
            <v>9</v>
          </cell>
          <cell r="E3253" t="str">
            <v>CHI</v>
          </cell>
          <cell r="I3253">
            <v>17</v>
          </cell>
          <cell r="J3253">
            <v>24</v>
          </cell>
          <cell r="L3253">
            <v>0</v>
          </cell>
        </row>
        <row r="3254">
          <cell r="B3254">
            <v>2020</v>
          </cell>
          <cell r="C3254">
            <v>10</v>
          </cell>
          <cell r="E3254" t="str">
            <v>CHI</v>
          </cell>
          <cell r="I3254">
            <v>13</v>
          </cell>
          <cell r="J3254">
            <v>19</v>
          </cell>
          <cell r="L3254">
            <v>0</v>
          </cell>
        </row>
        <row r="3255">
          <cell r="B3255">
            <v>2020</v>
          </cell>
          <cell r="C3255">
            <v>12</v>
          </cell>
          <cell r="E3255" t="str">
            <v>CHI</v>
          </cell>
          <cell r="I3255">
            <v>25</v>
          </cell>
          <cell r="J3255">
            <v>41</v>
          </cell>
          <cell r="L3255">
            <v>0</v>
          </cell>
        </row>
        <row r="3256">
          <cell r="B3256">
            <v>2020</v>
          </cell>
          <cell r="C3256">
            <v>13</v>
          </cell>
          <cell r="E3256" t="str">
            <v>CHI</v>
          </cell>
          <cell r="I3256">
            <v>30</v>
          </cell>
          <cell r="J3256">
            <v>34</v>
          </cell>
          <cell r="L3256">
            <v>0</v>
          </cell>
        </row>
        <row r="3257">
          <cell r="B3257">
            <v>2020</v>
          </cell>
          <cell r="C3257">
            <v>14</v>
          </cell>
          <cell r="E3257" t="str">
            <v>CHI</v>
          </cell>
          <cell r="I3257">
            <v>36</v>
          </cell>
          <cell r="J3257">
            <v>7</v>
          </cell>
          <cell r="L3257">
            <v>0</v>
          </cell>
        </row>
        <row r="3258">
          <cell r="B3258">
            <v>2020</v>
          </cell>
          <cell r="C3258">
            <v>15</v>
          </cell>
          <cell r="E3258" t="str">
            <v>CHI</v>
          </cell>
          <cell r="I3258">
            <v>33</v>
          </cell>
          <cell r="J3258">
            <v>27</v>
          </cell>
          <cell r="L3258">
            <v>0</v>
          </cell>
        </row>
        <row r="3259">
          <cell r="B3259">
            <v>2020</v>
          </cell>
          <cell r="C3259">
            <v>16</v>
          </cell>
          <cell r="E3259" t="str">
            <v>CHI</v>
          </cell>
          <cell r="I3259">
            <v>41</v>
          </cell>
          <cell r="J3259">
            <v>17</v>
          </cell>
          <cell r="L3259">
            <v>0</v>
          </cell>
        </row>
        <row r="3260">
          <cell r="B3260">
            <v>2020</v>
          </cell>
          <cell r="C3260">
            <v>17</v>
          </cell>
          <cell r="E3260" t="str">
            <v>CHI</v>
          </cell>
          <cell r="I3260">
            <v>16</v>
          </cell>
          <cell r="J3260">
            <v>35</v>
          </cell>
          <cell r="L3260">
            <v>0</v>
          </cell>
        </row>
        <row r="3261">
          <cell r="B3261">
            <v>2020</v>
          </cell>
          <cell r="C3261">
            <v>1</v>
          </cell>
          <cell r="E3261" t="str">
            <v>CHI</v>
          </cell>
          <cell r="I3261">
            <v>9</v>
          </cell>
          <cell r="J3261">
            <v>21</v>
          </cell>
          <cell r="L3261">
            <v>1</v>
          </cell>
        </row>
        <row r="3262">
          <cell r="B3262">
            <v>2021</v>
          </cell>
          <cell r="C3262">
            <v>1</v>
          </cell>
          <cell r="E3262" t="str">
            <v>CHI</v>
          </cell>
          <cell r="I3262">
            <v>14</v>
          </cell>
          <cell r="J3262">
            <v>34</v>
          </cell>
          <cell r="L3262">
            <v>0</v>
          </cell>
        </row>
        <row r="3263">
          <cell r="B3263">
            <v>2021</v>
          </cell>
          <cell r="C3263">
            <v>2</v>
          </cell>
          <cell r="E3263" t="str">
            <v>CHI</v>
          </cell>
          <cell r="I3263">
            <v>20</v>
          </cell>
          <cell r="J3263">
            <v>17</v>
          </cell>
          <cell r="L3263">
            <v>0</v>
          </cell>
        </row>
        <row r="3264">
          <cell r="B3264">
            <v>2021</v>
          </cell>
          <cell r="C3264">
            <v>3</v>
          </cell>
          <cell r="E3264" t="str">
            <v>CHI</v>
          </cell>
          <cell r="I3264">
            <v>6</v>
          </cell>
          <cell r="J3264">
            <v>26</v>
          </cell>
          <cell r="L3264">
            <v>0</v>
          </cell>
        </row>
        <row r="3265">
          <cell r="B3265">
            <v>2021</v>
          </cell>
          <cell r="C3265">
            <v>4</v>
          </cell>
          <cell r="E3265" t="str">
            <v>CHI</v>
          </cell>
          <cell r="I3265">
            <v>24</v>
          </cell>
          <cell r="J3265">
            <v>14</v>
          </cell>
          <cell r="L3265">
            <v>0</v>
          </cell>
        </row>
        <row r="3266">
          <cell r="B3266">
            <v>2021</v>
          </cell>
          <cell r="C3266">
            <v>5</v>
          </cell>
          <cell r="E3266" t="str">
            <v>CHI</v>
          </cell>
          <cell r="I3266">
            <v>20</v>
          </cell>
          <cell r="J3266">
            <v>9</v>
          </cell>
          <cell r="L3266">
            <v>0</v>
          </cell>
        </row>
        <row r="3267">
          <cell r="B3267">
            <v>2021</v>
          </cell>
          <cell r="C3267">
            <v>6</v>
          </cell>
          <cell r="E3267" t="str">
            <v>CHI</v>
          </cell>
          <cell r="I3267">
            <v>14</v>
          </cell>
          <cell r="J3267">
            <v>24</v>
          </cell>
          <cell r="L3267">
            <v>0</v>
          </cell>
        </row>
        <row r="3268">
          <cell r="B3268">
            <v>2021</v>
          </cell>
          <cell r="C3268">
            <v>7</v>
          </cell>
          <cell r="E3268" t="str">
            <v>CHI</v>
          </cell>
          <cell r="I3268">
            <v>3</v>
          </cell>
          <cell r="J3268">
            <v>38</v>
          </cell>
          <cell r="L3268">
            <v>0</v>
          </cell>
        </row>
        <row r="3269">
          <cell r="B3269">
            <v>2021</v>
          </cell>
          <cell r="C3269">
            <v>8</v>
          </cell>
          <cell r="E3269" t="str">
            <v>CHI</v>
          </cell>
          <cell r="I3269">
            <v>22</v>
          </cell>
          <cell r="J3269">
            <v>33</v>
          </cell>
          <cell r="L3269">
            <v>0</v>
          </cell>
        </row>
        <row r="3270">
          <cell r="B3270">
            <v>2021</v>
          </cell>
          <cell r="C3270">
            <v>9</v>
          </cell>
          <cell r="E3270" t="str">
            <v>CHI</v>
          </cell>
          <cell r="I3270">
            <v>27</v>
          </cell>
          <cell r="J3270">
            <v>29</v>
          </cell>
          <cell r="L3270">
            <v>0</v>
          </cell>
        </row>
        <row r="3271">
          <cell r="B3271">
            <v>2021</v>
          </cell>
          <cell r="C3271">
            <v>11</v>
          </cell>
          <cell r="E3271" t="str">
            <v>CHI</v>
          </cell>
          <cell r="I3271">
            <v>13</v>
          </cell>
          <cell r="J3271">
            <v>16</v>
          </cell>
          <cell r="L3271">
            <v>0</v>
          </cell>
        </row>
        <row r="3272">
          <cell r="B3272">
            <v>2021</v>
          </cell>
          <cell r="C3272">
            <v>12</v>
          </cell>
          <cell r="E3272" t="str">
            <v>CHI</v>
          </cell>
          <cell r="I3272">
            <v>16</v>
          </cell>
          <cell r="J3272">
            <v>14</v>
          </cell>
          <cell r="L3272">
            <v>0</v>
          </cell>
        </row>
        <row r="3273">
          <cell r="B3273">
            <v>2021</v>
          </cell>
          <cell r="C3273">
            <v>13</v>
          </cell>
          <cell r="E3273" t="str">
            <v>CHI</v>
          </cell>
          <cell r="I3273">
            <v>22</v>
          </cell>
          <cell r="J3273">
            <v>33</v>
          </cell>
          <cell r="L3273">
            <v>0</v>
          </cell>
        </row>
        <row r="3274">
          <cell r="B3274">
            <v>2021</v>
          </cell>
          <cell r="C3274">
            <v>14</v>
          </cell>
          <cell r="E3274" t="str">
            <v>CHI</v>
          </cell>
          <cell r="I3274">
            <v>30</v>
          </cell>
          <cell r="J3274">
            <v>45</v>
          </cell>
          <cell r="L3274">
            <v>0</v>
          </cell>
        </row>
        <row r="3275">
          <cell r="B3275">
            <v>2021</v>
          </cell>
          <cell r="C3275">
            <v>15</v>
          </cell>
          <cell r="E3275" t="str">
            <v>CHI</v>
          </cell>
          <cell r="I3275">
            <v>9</v>
          </cell>
          <cell r="J3275">
            <v>17</v>
          </cell>
          <cell r="L3275">
            <v>0</v>
          </cell>
        </row>
        <row r="3276">
          <cell r="B3276">
            <v>2021</v>
          </cell>
          <cell r="C3276">
            <v>16</v>
          </cell>
          <cell r="E3276" t="str">
            <v>CHI</v>
          </cell>
          <cell r="I3276">
            <v>25</v>
          </cell>
          <cell r="J3276">
            <v>24</v>
          </cell>
          <cell r="L3276">
            <v>0</v>
          </cell>
        </row>
        <row r="3277">
          <cell r="B3277">
            <v>2021</v>
          </cell>
          <cell r="C3277">
            <v>17</v>
          </cell>
          <cell r="E3277" t="str">
            <v>CHI</v>
          </cell>
          <cell r="I3277">
            <v>29</v>
          </cell>
          <cell r="J3277">
            <v>3</v>
          </cell>
          <cell r="L3277">
            <v>0</v>
          </cell>
        </row>
        <row r="3278">
          <cell r="B3278">
            <v>2021</v>
          </cell>
          <cell r="C3278">
            <v>18</v>
          </cell>
          <cell r="E3278" t="str">
            <v>CHI</v>
          </cell>
          <cell r="I3278">
            <v>17</v>
          </cell>
          <cell r="J3278">
            <v>31</v>
          </cell>
          <cell r="L3278">
            <v>0</v>
          </cell>
        </row>
        <row r="3279">
          <cell r="B3279">
            <v>2022</v>
          </cell>
          <cell r="C3279">
            <v>1</v>
          </cell>
          <cell r="E3279" t="str">
            <v>CHI</v>
          </cell>
          <cell r="I3279">
            <v>19</v>
          </cell>
          <cell r="J3279">
            <v>10</v>
          </cell>
          <cell r="L3279">
            <v>0</v>
          </cell>
        </row>
        <row r="3280">
          <cell r="B3280">
            <v>2022</v>
          </cell>
          <cell r="C3280">
            <v>2</v>
          </cell>
          <cell r="E3280" t="str">
            <v>CHI</v>
          </cell>
          <cell r="I3280">
            <v>10</v>
          </cell>
          <cell r="J3280">
            <v>27</v>
          </cell>
          <cell r="L3280">
            <v>0</v>
          </cell>
        </row>
        <row r="3281">
          <cell r="B3281">
            <v>2022</v>
          </cell>
          <cell r="C3281">
            <v>3</v>
          </cell>
          <cell r="E3281" t="str">
            <v>CHI</v>
          </cell>
          <cell r="I3281">
            <v>23</v>
          </cell>
          <cell r="J3281">
            <v>20</v>
          </cell>
          <cell r="L3281">
            <v>0</v>
          </cell>
        </row>
        <row r="3282">
          <cell r="B3282">
            <v>2022</v>
          </cell>
          <cell r="C3282">
            <v>4</v>
          </cell>
          <cell r="E3282" t="str">
            <v>CHI</v>
          </cell>
          <cell r="I3282">
            <v>12</v>
          </cell>
          <cell r="J3282">
            <v>20</v>
          </cell>
          <cell r="L3282">
            <v>0</v>
          </cell>
        </row>
        <row r="3283">
          <cell r="B3283">
            <v>2022</v>
          </cell>
          <cell r="C3283">
            <v>5</v>
          </cell>
          <cell r="E3283" t="str">
            <v>CHI</v>
          </cell>
          <cell r="I3283">
            <v>22</v>
          </cell>
          <cell r="J3283">
            <v>29</v>
          </cell>
          <cell r="L3283">
            <v>0</v>
          </cell>
        </row>
        <row r="3284">
          <cell r="B3284">
            <v>2022</v>
          </cell>
          <cell r="C3284">
            <v>6</v>
          </cell>
          <cell r="E3284" t="str">
            <v>CHI</v>
          </cell>
          <cell r="I3284">
            <v>7</v>
          </cell>
          <cell r="J3284">
            <v>12</v>
          </cell>
          <cell r="L3284">
            <v>0</v>
          </cell>
        </row>
        <row r="3285">
          <cell r="B3285">
            <v>2022</v>
          </cell>
          <cell r="C3285">
            <v>7</v>
          </cell>
          <cell r="E3285" t="str">
            <v>CHI</v>
          </cell>
          <cell r="I3285">
            <v>33</v>
          </cell>
          <cell r="J3285">
            <v>14</v>
          </cell>
          <cell r="L3285">
            <v>0</v>
          </cell>
        </row>
        <row r="3286">
          <cell r="B3286">
            <v>2022</v>
          </cell>
          <cell r="C3286">
            <v>8</v>
          </cell>
          <cell r="E3286" t="str">
            <v>CHI</v>
          </cell>
          <cell r="I3286">
            <v>29</v>
          </cell>
          <cell r="J3286">
            <v>49</v>
          </cell>
          <cell r="L3286">
            <v>0</v>
          </cell>
        </row>
        <row r="3287">
          <cell r="B3287">
            <v>2022</v>
          </cell>
          <cell r="C3287">
            <v>9</v>
          </cell>
          <cell r="E3287" t="str">
            <v>CHI</v>
          </cell>
          <cell r="I3287">
            <v>32</v>
          </cell>
          <cell r="J3287">
            <v>35</v>
          </cell>
          <cell r="L3287">
            <v>0</v>
          </cell>
        </row>
        <row r="3288">
          <cell r="B3288">
            <v>2022</v>
          </cell>
          <cell r="C3288">
            <v>10</v>
          </cell>
          <cell r="E3288" t="str">
            <v>CHI</v>
          </cell>
          <cell r="I3288">
            <v>30</v>
          </cell>
          <cell r="J3288">
            <v>31</v>
          </cell>
          <cell r="L3288">
            <v>0</v>
          </cell>
        </row>
        <row r="3289">
          <cell r="B3289">
            <v>2022</v>
          </cell>
          <cell r="C3289">
            <v>11</v>
          </cell>
          <cell r="E3289" t="str">
            <v>CHI</v>
          </cell>
          <cell r="I3289">
            <v>24</v>
          </cell>
          <cell r="J3289">
            <v>27</v>
          </cell>
          <cell r="L3289">
            <v>0</v>
          </cell>
        </row>
        <row r="3290">
          <cell r="B3290">
            <v>2022</v>
          </cell>
          <cell r="C3290">
            <v>12</v>
          </cell>
          <cell r="E3290" t="str">
            <v>CHI</v>
          </cell>
          <cell r="I3290">
            <v>10</v>
          </cell>
          <cell r="J3290">
            <v>31</v>
          </cell>
          <cell r="L3290">
            <v>0</v>
          </cell>
        </row>
        <row r="3291">
          <cell r="B3291">
            <v>2022</v>
          </cell>
          <cell r="C3291">
            <v>13</v>
          </cell>
          <cell r="E3291" t="str">
            <v>CHI</v>
          </cell>
          <cell r="I3291">
            <v>19</v>
          </cell>
          <cell r="J3291">
            <v>28</v>
          </cell>
          <cell r="L3291">
            <v>0</v>
          </cell>
        </row>
        <row r="3292">
          <cell r="B3292">
            <v>2022</v>
          </cell>
          <cell r="C3292">
            <v>15</v>
          </cell>
          <cell r="E3292" t="str">
            <v>CHI</v>
          </cell>
          <cell r="I3292">
            <v>20</v>
          </cell>
          <cell r="J3292">
            <v>25</v>
          </cell>
          <cell r="L3292">
            <v>0</v>
          </cell>
        </row>
        <row r="3293">
          <cell r="B3293">
            <v>2022</v>
          </cell>
          <cell r="C3293">
            <v>16</v>
          </cell>
          <cell r="E3293" t="str">
            <v>CHI</v>
          </cell>
          <cell r="I3293">
            <v>13</v>
          </cell>
          <cell r="J3293">
            <v>35</v>
          </cell>
          <cell r="L3293">
            <v>0</v>
          </cell>
        </row>
        <row r="3294">
          <cell r="B3294">
            <v>2022</v>
          </cell>
          <cell r="C3294">
            <v>17</v>
          </cell>
          <cell r="E3294" t="str">
            <v>CHI</v>
          </cell>
          <cell r="I3294">
            <v>10</v>
          </cell>
          <cell r="J3294">
            <v>41</v>
          </cell>
          <cell r="L3294">
            <v>0</v>
          </cell>
        </row>
        <row r="3295">
          <cell r="B3295">
            <v>2022</v>
          </cell>
          <cell r="C3295">
            <v>18</v>
          </cell>
          <cell r="E3295" t="str">
            <v>CHI</v>
          </cell>
          <cell r="I3295">
            <v>13</v>
          </cell>
          <cell r="J3295">
            <v>29</v>
          </cell>
          <cell r="L3295">
            <v>0</v>
          </cell>
        </row>
        <row r="3296">
          <cell r="B3296">
            <v>2023</v>
          </cell>
          <cell r="C3296">
            <v>1</v>
          </cell>
          <cell r="E3296" t="str">
            <v>CHI</v>
          </cell>
          <cell r="I3296">
            <v>20</v>
          </cell>
          <cell r="J3296">
            <v>38</v>
          </cell>
          <cell r="L3296">
            <v>0</v>
          </cell>
        </row>
        <row r="3297">
          <cell r="B3297">
            <v>2023</v>
          </cell>
          <cell r="C3297">
            <v>2</v>
          </cell>
          <cell r="E3297" t="str">
            <v>CHI</v>
          </cell>
          <cell r="I3297">
            <v>17</v>
          </cell>
          <cell r="J3297">
            <v>27</v>
          </cell>
          <cell r="L3297">
            <v>0</v>
          </cell>
        </row>
        <row r="3298">
          <cell r="B3298">
            <v>2023</v>
          </cell>
          <cell r="C3298">
            <v>3</v>
          </cell>
          <cell r="E3298" t="str">
            <v>CHI</v>
          </cell>
          <cell r="I3298">
            <v>10</v>
          </cell>
          <cell r="J3298">
            <v>41</v>
          </cell>
          <cell r="L3298">
            <v>0</v>
          </cell>
        </row>
        <row r="3299">
          <cell r="B3299">
            <v>2023</v>
          </cell>
          <cell r="C3299">
            <v>4</v>
          </cell>
          <cell r="E3299" t="str">
            <v>CHI</v>
          </cell>
          <cell r="I3299">
            <v>28</v>
          </cell>
          <cell r="J3299">
            <v>31</v>
          </cell>
          <cell r="L3299">
            <v>0</v>
          </cell>
        </row>
        <row r="3300">
          <cell r="B3300">
            <v>2023</v>
          </cell>
          <cell r="C3300">
            <v>5</v>
          </cell>
          <cell r="E3300" t="str">
            <v>CHI</v>
          </cell>
          <cell r="I3300">
            <v>40</v>
          </cell>
          <cell r="J3300">
            <v>20</v>
          </cell>
          <cell r="L3300">
            <v>0</v>
          </cell>
        </row>
        <row r="3301">
          <cell r="B3301">
            <v>2023</v>
          </cell>
          <cell r="C3301">
            <v>6</v>
          </cell>
          <cell r="E3301" t="str">
            <v>CHI</v>
          </cell>
          <cell r="I3301">
            <v>13</v>
          </cell>
          <cell r="J3301">
            <v>19</v>
          </cell>
          <cell r="L3301">
            <v>0</v>
          </cell>
        </row>
        <row r="3302">
          <cell r="B3302">
            <v>2023</v>
          </cell>
          <cell r="C3302">
            <v>7</v>
          </cell>
          <cell r="E3302" t="str">
            <v>CHI</v>
          </cell>
          <cell r="I3302">
            <v>30</v>
          </cell>
          <cell r="J3302">
            <v>12</v>
          </cell>
          <cell r="L3302">
            <v>0</v>
          </cell>
        </row>
        <row r="3303">
          <cell r="B3303">
            <v>2023</v>
          </cell>
          <cell r="C3303">
            <v>8</v>
          </cell>
          <cell r="E3303" t="str">
            <v>CHI</v>
          </cell>
          <cell r="I3303">
            <v>13</v>
          </cell>
          <cell r="J3303">
            <v>30</v>
          </cell>
          <cell r="L3303">
            <v>0</v>
          </cell>
        </row>
        <row r="3304">
          <cell r="B3304">
            <v>2023</v>
          </cell>
          <cell r="C3304">
            <v>9</v>
          </cell>
          <cell r="E3304" t="str">
            <v>CHI</v>
          </cell>
          <cell r="I3304">
            <v>17</v>
          </cell>
          <cell r="J3304">
            <v>24</v>
          </cell>
          <cell r="L3304">
            <v>0</v>
          </cell>
        </row>
        <row r="3305">
          <cell r="B3305">
            <v>2023</v>
          </cell>
          <cell r="C3305">
            <v>10</v>
          </cell>
          <cell r="E3305" t="str">
            <v>CHI</v>
          </cell>
          <cell r="I3305">
            <v>16</v>
          </cell>
          <cell r="J3305">
            <v>13</v>
          </cell>
          <cell r="L3305">
            <v>0</v>
          </cell>
        </row>
        <row r="3306">
          <cell r="B3306">
            <v>2023</v>
          </cell>
          <cell r="C3306">
            <v>11</v>
          </cell>
          <cell r="E3306" t="str">
            <v>CHI</v>
          </cell>
          <cell r="I3306">
            <v>26</v>
          </cell>
          <cell r="J3306">
            <v>31</v>
          </cell>
          <cell r="L3306">
            <v>0</v>
          </cell>
        </row>
        <row r="3307">
          <cell r="B3307">
            <v>2023</v>
          </cell>
          <cell r="C3307">
            <v>12</v>
          </cell>
          <cell r="E3307" t="str">
            <v>CHI</v>
          </cell>
          <cell r="I3307">
            <v>12</v>
          </cell>
          <cell r="J3307">
            <v>10</v>
          </cell>
          <cell r="L3307">
            <v>0</v>
          </cell>
        </row>
        <row r="3308">
          <cell r="B3308">
            <v>2023</v>
          </cell>
          <cell r="C3308">
            <v>14</v>
          </cell>
          <cell r="E3308" t="str">
            <v>CHI</v>
          </cell>
          <cell r="I3308">
            <v>28</v>
          </cell>
          <cell r="J3308">
            <v>13</v>
          </cell>
          <cell r="L3308">
            <v>0</v>
          </cell>
        </row>
        <row r="3309">
          <cell r="B3309">
            <v>2023</v>
          </cell>
          <cell r="C3309">
            <v>15</v>
          </cell>
          <cell r="E3309" t="str">
            <v>CHI</v>
          </cell>
          <cell r="I3309">
            <v>17</v>
          </cell>
          <cell r="J3309">
            <v>20</v>
          </cell>
          <cell r="L3309">
            <v>0</v>
          </cell>
        </row>
        <row r="3310">
          <cell r="B3310">
            <v>2023</v>
          </cell>
          <cell r="C3310">
            <v>16</v>
          </cell>
          <cell r="E3310" t="str">
            <v>CHI</v>
          </cell>
          <cell r="I3310">
            <v>27</v>
          </cell>
          <cell r="J3310">
            <v>16</v>
          </cell>
          <cell r="L3310">
            <v>0</v>
          </cell>
        </row>
        <row r="3311">
          <cell r="B3311">
            <v>2023</v>
          </cell>
          <cell r="C3311">
            <v>17</v>
          </cell>
          <cell r="E3311" t="str">
            <v>CHI</v>
          </cell>
          <cell r="I3311">
            <v>37</v>
          </cell>
          <cell r="J3311">
            <v>17</v>
          </cell>
          <cell r="L3311">
            <v>0</v>
          </cell>
        </row>
        <row r="3312">
          <cell r="B3312">
            <v>2023</v>
          </cell>
          <cell r="C3312">
            <v>18</v>
          </cell>
          <cell r="E3312" t="str">
            <v>CHI</v>
          </cell>
          <cell r="I3312">
            <v>9</v>
          </cell>
          <cell r="J3312">
            <v>17</v>
          </cell>
          <cell r="L3312">
            <v>0</v>
          </cell>
        </row>
        <row r="3313">
          <cell r="B3313">
            <v>2024</v>
          </cell>
          <cell r="C3313">
            <v>1</v>
          </cell>
          <cell r="E3313" t="str">
            <v>CHI</v>
          </cell>
          <cell r="I3313">
            <v>24</v>
          </cell>
          <cell r="J3313">
            <v>17</v>
          </cell>
          <cell r="L3313">
            <v>0</v>
          </cell>
        </row>
        <row r="3314">
          <cell r="B3314">
            <v>2024</v>
          </cell>
          <cell r="C3314">
            <v>2</v>
          </cell>
          <cell r="E3314" t="str">
            <v>CHI</v>
          </cell>
          <cell r="I3314">
            <v>13</v>
          </cell>
          <cell r="J3314">
            <v>19</v>
          </cell>
          <cell r="L3314">
            <v>0</v>
          </cell>
        </row>
        <row r="3315">
          <cell r="B3315">
            <v>2024</v>
          </cell>
          <cell r="C3315">
            <v>3</v>
          </cell>
          <cell r="E3315" t="str">
            <v>CHI</v>
          </cell>
          <cell r="I3315">
            <v>16</v>
          </cell>
          <cell r="J3315">
            <v>21</v>
          </cell>
          <cell r="L3315">
            <v>0</v>
          </cell>
        </row>
        <row r="3316">
          <cell r="B3316">
            <v>2024</v>
          </cell>
          <cell r="C3316">
            <v>4</v>
          </cell>
          <cell r="E3316" t="str">
            <v>CHI</v>
          </cell>
          <cell r="I3316">
            <v>24</v>
          </cell>
          <cell r="J3316">
            <v>18</v>
          </cell>
          <cell r="L3316">
            <v>0</v>
          </cell>
        </row>
        <row r="3317">
          <cell r="B3317">
            <v>2024</v>
          </cell>
          <cell r="C3317">
            <v>5</v>
          </cell>
          <cell r="E3317" t="str">
            <v>CHI</v>
          </cell>
          <cell r="I3317">
            <v>36</v>
          </cell>
          <cell r="J3317">
            <v>10</v>
          </cell>
          <cell r="L3317">
            <v>0</v>
          </cell>
        </row>
        <row r="3318">
          <cell r="B3318">
            <v>2024</v>
          </cell>
          <cell r="C3318">
            <v>6</v>
          </cell>
          <cell r="E3318" t="str">
            <v>CHI</v>
          </cell>
          <cell r="I3318">
            <v>35</v>
          </cell>
          <cell r="J3318">
            <v>16</v>
          </cell>
          <cell r="L3318">
            <v>0</v>
          </cell>
        </row>
        <row r="3319">
          <cell r="B3319">
            <v>2024</v>
          </cell>
          <cell r="C3319">
            <v>8</v>
          </cell>
          <cell r="E3319" t="str">
            <v>CHI</v>
          </cell>
          <cell r="I3319">
            <v>15</v>
          </cell>
          <cell r="J3319">
            <v>18</v>
          </cell>
          <cell r="L3319">
            <v>0</v>
          </cell>
        </row>
        <row r="3320">
          <cell r="B3320">
            <v>2024</v>
          </cell>
          <cell r="C3320">
            <v>9</v>
          </cell>
          <cell r="E3320" t="str">
            <v>CHI</v>
          </cell>
          <cell r="I3320">
            <v>9</v>
          </cell>
          <cell r="J3320">
            <v>29</v>
          </cell>
          <cell r="L3320">
            <v>0</v>
          </cell>
        </row>
        <row r="3321">
          <cell r="B3321">
            <v>2024</v>
          </cell>
          <cell r="C3321">
            <v>10</v>
          </cell>
          <cell r="E3321" t="str">
            <v>CHI</v>
          </cell>
          <cell r="I3321">
            <v>3</v>
          </cell>
          <cell r="J3321">
            <v>19</v>
          </cell>
          <cell r="L3321">
            <v>0</v>
          </cell>
        </row>
        <row r="3322">
          <cell r="B3322">
            <v>2024</v>
          </cell>
          <cell r="C3322">
            <v>11</v>
          </cell>
          <cell r="E3322" t="str">
            <v>CHI</v>
          </cell>
          <cell r="I3322">
            <v>19</v>
          </cell>
          <cell r="J3322">
            <v>20</v>
          </cell>
          <cell r="L3322">
            <v>0</v>
          </cell>
        </row>
        <row r="3323">
          <cell r="B3323">
            <v>2024</v>
          </cell>
          <cell r="C3323">
            <v>12</v>
          </cell>
          <cell r="E3323" t="str">
            <v>CHI</v>
          </cell>
          <cell r="I3323">
            <v>27</v>
          </cell>
          <cell r="J3323">
            <v>30</v>
          </cell>
          <cell r="L3323">
            <v>0</v>
          </cell>
        </row>
        <row r="3324">
          <cell r="B3324">
            <v>2024</v>
          </cell>
          <cell r="C3324">
            <v>13</v>
          </cell>
          <cell r="E3324" t="str">
            <v>CHI</v>
          </cell>
          <cell r="I3324">
            <v>20</v>
          </cell>
          <cell r="J3324">
            <v>23</v>
          </cell>
          <cell r="L3324">
            <v>0</v>
          </cell>
        </row>
        <row r="3325">
          <cell r="B3325">
            <v>2024</v>
          </cell>
          <cell r="C3325">
            <v>14</v>
          </cell>
          <cell r="E3325" t="str">
            <v>CHI</v>
          </cell>
          <cell r="I3325">
            <v>13</v>
          </cell>
          <cell r="J3325">
            <v>38</v>
          </cell>
          <cell r="L3325">
            <v>0</v>
          </cell>
        </row>
        <row r="3326">
          <cell r="B3326">
            <v>2024</v>
          </cell>
          <cell r="C3326">
            <v>15</v>
          </cell>
          <cell r="E3326" t="str">
            <v>CHI</v>
          </cell>
          <cell r="I3326">
            <v>12</v>
          </cell>
          <cell r="J3326">
            <v>30</v>
          </cell>
          <cell r="L3326">
            <v>0</v>
          </cell>
        </row>
        <row r="3327">
          <cell r="B3327">
            <v>2024</v>
          </cell>
          <cell r="C3327">
            <v>16</v>
          </cell>
          <cell r="E3327" t="str">
            <v>CHI</v>
          </cell>
          <cell r="I3327">
            <v>17</v>
          </cell>
          <cell r="J3327">
            <v>34</v>
          </cell>
          <cell r="L3327">
            <v>0</v>
          </cell>
        </row>
        <row r="3328">
          <cell r="B3328">
            <v>2024</v>
          </cell>
          <cell r="C3328">
            <v>17</v>
          </cell>
          <cell r="E3328" t="str">
            <v>CHI</v>
          </cell>
          <cell r="I3328">
            <v>3</v>
          </cell>
          <cell r="J3328">
            <v>6</v>
          </cell>
          <cell r="L3328">
            <v>0</v>
          </cell>
        </row>
        <row r="3329">
          <cell r="B3329">
            <v>2024</v>
          </cell>
          <cell r="C3329">
            <v>18</v>
          </cell>
          <cell r="E3329" t="str">
            <v>CHI</v>
          </cell>
          <cell r="I3329">
            <v>24</v>
          </cell>
          <cell r="J3329">
            <v>22</v>
          </cell>
          <cell r="L3329">
            <v>0</v>
          </cell>
        </row>
        <row r="3330">
          <cell r="B3330">
            <v>2025</v>
          </cell>
          <cell r="C3330">
            <v>1</v>
          </cell>
          <cell r="E3330" t="str">
            <v>CHI</v>
          </cell>
          <cell r="I3330">
            <v>24</v>
          </cell>
          <cell r="J3330">
            <v>27</v>
          </cell>
          <cell r="L3330">
            <v>0</v>
          </cell>
        </row>
        <row r="3331">
          <cell r="B3331">
            <v>2025</v>
          </cell>
          <cell r="C3331">
            <v>2</v>
          </cell>
          <cell r="E3331" t="str">
            <v>CHI</v>
          </cell>
          <cell r="I3331">
            <v>21</v>
          </cell>
          <cell r="J3331">
            <v>52</v>
          </cell>
          <cell r="L3331">
            <v>0</v>
          </cell>
        </row>
        <row r="3332">
          <cell r="B3332">
            <v>2025</v>
          </cell>
          <cell r="C3332">
            <v>3</v>
          </cell>
          <cell r="E3332" t="str">
            <v>CHI</v>
          </cell>
          <cell r="I3332">
            <v>31</v>
          </cell>
          <cell r="J3332">
            <v>14</v>
          </cell>
          <cell r="L3332">
            <v>0</v>
          </cell>
        </row>
        <row r="3333">
          <cell r="B3333">
            <v>2025</v>
          </cell>
          <cell r="C3333">
            <v>4</v>
          </cell>
          <cell r="E3333" t="str">
            <v>CHI</v>
          </cell>
          <cell r="I3333">
            <v>25</v>
          </cell>
          <cell r="J3333">
            <v>24</v>
          </cell>
          <cell r="L3333">
            <v>0</v>
          </cell>
        </row>
        <row r="3334">
          <cell r="B3334">
            <v>2025</v>
          </cell>
          <cell r="C3334">
            <v>6</v>
          </cell>
          <cell r="E3334" t="str">
            <v>CHI</v>
          </cell>
          <cell r="I3334">
            <v>25</v>
          </cell>
          <cell r="J3334">
            <v>24</v>
          </cell>
          <cell r="L3334">
            <v>0</v>
          </cell>
        </row>
        <row r="3335">
          <cell r="B3335">
            <v>2025</v>
          </cell>
          <cell r="C3335">
            <v>7</v>
          </cell>
          <cell r="E3335" t="str">
            <v>CHI</v>
          </cell>
          <cell r="I3335">
            <v>26</v>
          </cell>
          <cell r="J3335">
            <v>14</v>
          </cell>
          <cell r="L3335">
            <v>0</v>
          </cell>
        </row>
        <row r="3336">
          <cell r="B3336">
            <v>2025</v>
          </cell>
          <cell r="C3336">
            <v>8</v>
          </cell>
          <cell r="E3336" t="str">
            <v>CHI</v>
          </cell>
          <cell r="I3336">
            <v>16</v>
          </cell>
          <cell r="J3336">
            <v>30</v>
          </cell>
          <cell r="L3336">
            <v>0</v>
          </cell>
        </row>
        <row r="3337">
          <cell r="B3337">
            <v>2025</v>
          </cell>
          <cell r="C3337">
            <v>9</v>
          </cell>
          <cell r="E3337" t="str">
            <v>CHI</v>
          </cell>
          <cell r="I3337">
            <v>47</v>
          </cell>
          <cell r="J3337">
            <v>42</v>
          </cell>
          <cell r="L3337">
            <v>0</v>
          </cell>
        </row>
        <row r="3338">
          <cell r="B3338">
            <v>2025</v>
          </cell>
          <cell r="C3338">
            <v>10</v>
          </cell>
          <cell r="E3338" t="str">
            <v>CHI</v>
          </cell>
          <cell r="I3338">
            <v>24</v>
          </cell>
          <cell r="J3338">
            <v>20</v>
          </cell>
          <cell r="L3338">
            <v>0</v>
          </cell>
        </row>
        <row r="3339">
          <cell r="B3339">
            <v>2025</v>
          </cell>
          <cell r="C3339">
            <v>11</v>
          </cell>
          <cell r="E3339" t="str">
            <v>CHI</v>
          </cell>
          <cell r="I3339">
            <v>19</v>
          </cell>
          <cell r="J3339">
            <v>17</v>
          </cell>
          <cell r="L3339">
            <v>0</v>
          </cell>
        </row>
        <row r="3340">
          <cell r="B3340">
            <v>2025</v>
          </cell>
          <cell r="C3340">
            <v>12</v>
          </cell>
          <cell r="E3340" t="str">
            <v>CHI</v>
          </cell>
          <cell r="I3340">
            <v>31</v>
          </cell>
          <cell r="J3340">
            <v>28</v>
          </cell>
          <cell r="L3340">
            <v>0</v>
          </cell>
        </row>
        <row r="3341">
          <cell r="B3341">
            <v>2025</v>
          </cell>
          <cell r="C3341">
            <v>13</v>
          </cell>
          <cell r="E3341" t="str">
            <v>CHI</v>
          </cell>
          <cell r="I3341">
            <v>24</v>
          </cell>
          <cell r="J3341">
            <v>15</v>
          </cell>
          <cell r="L3341">
            <v>0</v>
          </cell>
        </row>
        <row r="3342">
          <cell r="B3342">
            <v>2025</v>
          </cell>
          <cell r="C3342">
            <v>14</v>
          </cell>
          <cell r="E3342" t="str">
            <v>CHI</v>
          </cell>
          <cell r="I3342">
            <v>21</v>
          </cell>
          <cell r="J3342">
            <v>28</v>
          </cell>
          <cell r="L3342">
            <v>0</v>
          </cell>
        </row>
        <row r="3343">
          <cell r="B3343">
            <v>2025</v>
          </cell>
          <cell r="C3343">
            <v>15</v>
          </cell>
          <cell r="E3343" t="str">
            <v>CHI</v>
          </cell>
          <cell r="I3343">
            <v>31</v>
          </cell>
          <cell r="J3343">
            <v>3</v>
          </cell>
          <cell r="L3343">
            <v>0</v>
          </cell>
        </row>
        <row r="3344">
          <cell r="B3344">
            <v>2025</v>
          </cell>
          <cell r="C3344">
            <v>16</v>
          </cell>
          <cell r="E3344" t="str">
            <v>CHI</v>
          </cell>
          <cell r="I3344">
            <v>22</v>
          </cell>
          <cell r="J3344">
            <v>16</v>
          </cell>
          <cell r="L3344">
            <v>0</v>
          </cell>
        </row>
        <row r="3345">
          <cell r="B3345">
            <v>2025</v>
          </cell>
          <cell r="C3345">
            <v>17</v>
          </cell>
          <cell r="E3345" t="str">
            <v>CHI</v>
          </cell>
          <cell r="I3345">
            <v>38</v>
          </cell>
          <cell r="J3345">
            <v>42</v>
          </cell>
          <cell r="L3345">
            <v>0</v>
          </cell>
        </row>
        <row r="3346">
          <cell r="B3346">
            <v>2025</v>
          </cell>
          <cell r="C3346">
            <v>18</v>
          </cell>
          <cell r="E3346" t="str">
            <v>CHI</v>
          </cell>
          <cell r="I3346">
            <v>16</v>
          </cell>
          <cell r="J3346">
            <v>19</v>
          </cell>
          <cell r="L3346">
            <v>0</v>
          </cell>
        </row>
        <row r="3347">
          <cell r="B3347">
            <v>2025</v>
          </cell>
          <cell r="C3347">
            <v>1</v>
          </cell>
          <cell r="E3347" t="str">
            <v>CHI</v>
          </cell>
          <cell r="I3347">
            <v>31</v>
          </cell>
          <cell r="J3347">
            <v>27</v>
          </cell>
          <cell r="L3347">
            <v>1</v>
          </cell>
        </row>
        <row r="3348">
          <cell r="B3348">
            <v>2025</v>
          </cell>
          <cell r="C3348">
            <v>2</v>
          </cell>
          <cell r="E3348" t="str">
            <v>CHI</v>
          </cell>
          <cell r="I3348">
            <v>17</v>
          </cell>
          <cell r="J3348">
            <v>20</v>
          </cell>
          <cell r="L3348">
            <v>1</v>
          </cell>
        </row>
        <row r="3349">
          <cell r="B3349">
            <v>2026</v>
          </cell>
          <cell r="C3349">
            <v>1</v>
          </cell>
          <cell r="E3349" t="str">
            <v>CHI</v>
          </cell>
          <cell r="I3349">
            <v>59</v>
          </cell>
          <cell r="J3349">
            <v>37</v>
          </cell>
          <cell r="L3349">
            <v>0</v>
          </cell>
        </row>
        <row r="3350">
          <cell r="B3350">
            <v>2026</v>
          </cell>
          <cell r="C3350">
            <v>2</v>
          </cell>
          <cell r="E3350" t="str">
            <v>CHI</v>
          </cell>
          <cell r="I3350">
            <v>3</v>
          </cell>
          <cell r="J3350">
            <v>9</v>
          </cell>
          <cell r="L3350">
            <v>0</v>
          </cell>
        </row>
        <row r="3351">
          <cell r="B3351">
            <v>2026</v>
          </cell>
          <cell r="C3351">
            <v>3</v>
          </cell>
          <cell r="E3351" t="str">
            <v>CHI</v>
          </cell>
          <cell r="I3351">
            <v>27</v>
          </cell>
          <cell r="J3351">
            <v>7</v>
          </cell>
          <cell r="L3351">
            <v>0</v>
          </cell>
        </row>
        <row r="3352">
          <cell r="B3352">
            <v>2026</v>
          </cell>
          <cell r="C3352">
            <v>4</v>
          </cell>
          <cell r="E3352" t="str">
            <v>CHI</v>
          </cell>
          <cell r="I3352">
            <v>23</v>
          </cell>
          <cell r="J3352">
            <v>12</v>
          </cell>
          <cell r="L3352">
            <v>0</v>
          </cell>
        </row>
        <row r="3353">
          <cell r="B3353">
            <v>2026</v>
          </cell>
          <cell r="C3353">
            <v>5</v>
          </cell>
          <cell r="E3353" t="str">
            <v>CHI</v>
          </cell>
          <cell r="I3353">
            <v>7</v>
          </cell>
          <cell r="J3353">
            <v>31</v>
          </cell>
          <cell r="L3353">
            <v>0</v>
          </cell>
        </row>
        <row r="3354">
          <cell r="B3354">
            <v>2026</v>
          </cell>
          <cell r="C3354">
            <v>6</v>
          </cell>
          <cell r="E3354" t="str">
            <v>CHI</v>
          </cell>
          <cell r="I3354">
            <v>31</v>
          </cell>
          <cell r="J3354">
            <v>23</v>
          </cell>
          <cell r="L3354">
            <v>0</v>
          </cell>
        </row>
        <row r="3355">
          <cell r="B3355">
            <v>2026</v>
          </cell>
          <cell r="C3355">
            <v>7</v>
          </cell>
          <cell r="E3355" t="str">
            <v>CHI</v>
          </cell>
          <cell r="L3355">
            <v>0</v>
          </cell>
        </row>
        <row r="3356">
          <cell r="B3356">
            <v>2018</v>
          </cell>
          <cell r="C3356">
            <v>1</v>
          </cell>
          <cell r="E3356" t="str">
            <v>DET</v>
          </cell>
          <cell r="I3356">
            <v>17</v>
          </cell>
          <cell r="J3356">
            <v>48</v>
          </cell>
          <cell r="L3356">
            <v>0</v>
          </cell>
        </row>
        <row r="3357">
          <cell r="B3357">
            <v>2018</v>
          </cell>
          <cell r="C3357">
            <v>2</v>
          </cell>
          <cell r="E3357" t="str">
            <v>DET</v>
          </cell>
          <cell r="I3357">
            <v>27</v>
          </cell>
          <cell r="J3357">
            <v>30</v>
          </cell>
          <cell r="L3357">
            <v>0</v>
          </cell>
        </row>
        <row r="3358">
          <cell r="B3358">
            <v>2018</v>
          </cell>
          <cell r="C3358">
            <v>3</v>
          </cell>
          <cell r="E3358" t="str">
            <v>DET</v>
          </cell>
          <cell r="I3358">
            <v>26</v>
          </cell>
          <cell r="J3358">
            <v>10</v>
          </cell>
          <cell r="L3358">
            <v>0</v>
          </cell>
        </row>
        <row r="3359">
          <cell r="B3359">
            <v>2018</v>
          </cell>
          <cell r="C3359">
            <v>4</v>
          </cell>
          <cell r="E3359" t="str">
            <v>DET</v>
          </cell>
          <cell r="I3359">
            <v>24</v>
          </cell>
          <cell r="J3359">
            <v>26</v>
          </cell>
          <cell r="L3359">
            <v>0</v>
          </cell>
        </row>
        <row r="3360">
          <cell r="B3360">
            <v>2018</v>
          </cell>
          <cell r="C3360">
            <v>5</v>
          </cell>
          <cell r="E3360" t="str">
            <v>DET</v>
          </cell>
          <cell r="I3360">
            <v>31</v>
          </cell>
          <cell r="J3360">
            <v>23</v>
          </cell>
          <cell r="L3360">
            <v>0</v>
          </cell>
        </row>
        <row r="3361">
          <cell r="B3361">
            <v>2018</v>
          </cell>
          <cell r="C3361">
            <v>7</v>
          </cell>
          <cell r="E3361" t="str">
            <v>DET</v>
          </cell>
          <cell r="I3361">
            <v>32</v>
          </cell>
          <cell r="J3361">
            <v>21</v>
          </cell>
          <cell r="L3361">
            <v>0</v>
          </cell>
        </row>
        <row r="3362">
          <cell r="B3362">
            <v>2018</v>
          </cell>
          <cell r="C3362">
            <v>8</v>
          </cell>
          <cell r="E3362" t="str">
            <v>DET</v>
          </cell>
          <cell r="I3362">
            <v>14</v>
          </cell>
          <cell r="J3362">
            <v>28</v>
          </cell>
          <cell r="L3362">
            <v>0</v>
          </cell>
        </row>
        <row r="3363">
          <cell r="B3363">
            <v>2018</v>
          </cell>
          <cell r="C3363">
            <v>9</v>
          </cell>
          <cell r="E3363" t="str">
            <v>DET</v>
          </cell>
          <cell r="I3363">
            <v>9</v>
          </cell>
          <cell r="J3363">
            <v>24</v>
          </cell>
          <cell r="L3363">
            <v>0</v>
          </cell>
        </row>
        <row r="3364">
          <cell r="B3364">
            <v>2018</v>
          </cell>
          <cell r="C3364">
            <v>10</v>
          </cell>
          <cell r="E3364" t="str">
            <v>DET</v>
          </cell>
          <cell r="I3364">
            <v>22</v>
          </cell>
          <cell r="J3364">
            <v>34</v>
          </cell>
          <cell r="L3364">
            <v>0</v>
          </cell>
        </row>
        <row r="3365">
          <cell r="B3365">
            <v>2018</v>
          </cell>
          <cell r="C3365">
            <v>11</v>
          </cell>
          <cell r="E3365" t="str">
            <v>DET</v>
          </cell>
          <cell r="I3365">
            <v>20</v>
          </cell>
          <cell r="J3365">
            <v>19</v>
          </cell>
          <cell r="L3365">
            <v>0</v>
          </cell>
        </row>
        <row r="3366">
          <cell r="B3366">
            <v>2018</v>
          </cell>
          <cell r="C3366">
            <v>12</v>
          </cell>
          <cell r="E3366" t="str">
            <v>DET</v>
          </cell>
          <cell r="I3366">
            <v>16</v>
          </cell>
          <cell r="J3366">
            <v>23</v>
          </cell>
          <cell r="L3366">
            <v>0</v>
          </cell>
        </row>
        <row r="3367">
          <cell r="B3367">
            <v>2018</v>
          </cell>
          <cell r="C3367">
            <v>13</v>
          </cell>
          <cell r="E3367" t="str">
            <v>DET</v>
          </cell>
          <cell r="I3367">
            <v>16</v>
          </cell>
          <cell r="J3367">
            <v>30</v>
          </cell>
          <cell r="L3367">
            <v>0</v>
          </cell>
        </row>
        <row r="3368">
          <cell r="B3368">
            <v>2018</v>
          </cell>
          <cell r="C3368">
            <v>14</v>
          </cell>
          <cell r="E3368" t="str">
            <v>DET</v>
          </cell>
          <cell r="I3368">
            <v>17</v>
          </cell>
          <cell r="J3368">
            <v>3</v>
          </cell>
          <cell r="L3368">
            <v>0</v>
          </cell>
        </row>
        <row r="3369">
          <cell r="B3369">
            <v>2018</v>
          </cell>
          <cell r="C3369">
            <v>15</v>
          </cell>
          <cell r="E3369" t="str">
            <v>DET</v>
          </cell>
          <cell r="I3369">
            <v>13</v>
          </cell>
          <cell r="J3369">
            <v>14</v>
          </cell>
          <cell r="L3369">
            <v>0</v>
          </cell>
        </row>
        <row r="3370">
          <cell r="B3370">
            <v>2018</v>
          </cell>
          <cell r="C3370">
            <v>16</v>
          </cell>
          <cell r="E3370" t="str">
            <v>DET</v>
          </cell>
          <cell r="I3370">
            <v>9</v>
          </cell>
          <cell r="J3370">
            <v>27</v>
          </cell>
          <cell r="L3370">
            <v>0</v>
          </cell>
        </row>
        <row r="3371">
          <cell r="B3371">
            <v>2018</v>
          </cell>
          <cell r="C3371">
            <v>17</v>
          </cell>
          <cell r="E3371" t="str">
            <v>DET</v>
          </cell>
          <cell r="I3371">
            <v>31</v>
          </cell>
          <cell r="J3371">
            <v>0</v>
          </cell>
          <cell r="L3371">
            <v>0</v>
          </cell>
        </row>
        <row r="3372">
          <cell r="B3372">
            <v>2019</v>
          </cell>
          <cell r="C3372">
            <v>1</v>
          </cell>
          <cell r="E3372" t="str">
            <v>DET</v>
          </cell>
          <cell r="I3372">
            <v>27</v>
          </cell>
          <cell r="J3372">
            <v>27</v>
          </cell>
          <cell r="L3372">
            <v>0</v>
          </cell>
        </row>
        <row r="3373">
          <cell r="B3373">
            <v>2019</v>
          </cell>
          <cell r="C3373">
            <v>2</v>
          </cell>
          <cell r="E3373" t="str">
            <v>DET</v>
          </cell>
          <cell r="I3373">
            <v>13</v>
          </cell>
          <cell r="J3373">
            <v>10</v>
          </cell>
          <cell r="L3373">
            <v>0</v>
          </cell>
        </row>
        <row r="3374">
          <cell r="B3374">
            <v>2019</v>
          </cell>
          <cell r="C3374">
            <v>3</v>
          </cell>
          <cell r="E3374" t="str">
            <v>DET</v>
          </cell>
          <cell r="I3374">
            <v>27</v>
          </cell>
          <cell r="J3374">
            <v>24</v>
          </cell>
          <cell r="L3374">
            <v>0</v>
          </cell>
        </row>
        <row r="3375">
          <cell r="B3375">
            <v>2019</v>
          </cell>
          <cell r="C3375">
            <v>4</v>
          </cell>
          <cell r="E3375" t="str">
            <v>DET</v>
          </cell>
          <cell r="I3375">
            <v>30</v>
          </cell>
          <cell r="J3375">
            <v>34</v>
          </cell>
          <cell r="L3375">
            <v>0</v>
          </cell>
        </row>
        <row r="3376">
          <cell r="B3376">
            <v>2019</v>
          </cell>
          <cell r="C3376">
            <v>6</v>
          </cell>
          <cell r="E3376" t="str">
            <v>DET</v>
          </cell>
          <cell r="I3376">
            <v>22</v>
          </cell>
          <cell r="J3376">
            <v>23</v>
          </cell>
          <cell r="L3376">
            <v>0</v>
          </cell>
        </row>
        <row r="3377">
          <cell r="B3377">
            <v>2019</v>
          </cell>
          <cell r="C3377">
            <v>7</v>
          </cell>
          <cell r="E3377" t="str">
            <v>DET</v>
          </cell>
          <cell r="I3377">
            <v>30</v>
          </cell>
          <cell r="J3377">
            <v>42</v>
          </cell>
          <cell r="L3377">
            <v>0</v>
          </cell>
        </row>
        <row r="3378">
          <cell r="B3378">
            <v>2019</v>
          </cell>
          <cell r="C3378">
            <v>8</v>
          </cell>
          <cell r="E3378" t="str">
            <v>DET</v>
          </cell>
          <cell r="I3378">
            <v>31</v>
          </cell>
          <cell r="J3378">
            <v>26</v>
          </cell>
          <cell r="L3378">
            <v>0</v>
          </cell>
        </row>
        <row r="3379">
          <cell r="B3379">
            <v>2019</v>
          </cell>
          <cell r="C3379">
            <v>9</v>
          </cell>
          <cell r="E3379" t="str">
            <v>DET</v>
          </cell>
          <cell r="I3379">
            <v>24</v>
          </cell>
          <cell r="J3379">
            <v>31</v>
          </cell>
          <cell r="L3379">
            <v>0</v>
          </cell>
        </row>
        <row r="3380">
          <cell r="B3380">
            <v>2019</v>
          </cell>
          <cell r="C3380">
            <v>10</v>
          </cell>
          <cell r="E3380" t="str">
            <v>DET</v>
          </cell>
          <cell r="I3380">
            <v>13</v>
          </cell>
          <cell r="J3380">
            <v>20</v>
          </cell>
          <cell r="L3380">
            <v>0</v>
          </cell>
        </row>
        <row r="3381">
          <cell r="B3381">
            <v>2019</v>
          </cell>
          <cell r="C3381">
            <v>11</v>
          </cell>
          <cell r="E3381" t="str">
            <v>DET</v>
          </cell>
          <cell r="I3381">
            <v>27</v>
          </cell>
          <cell r="J3381">
            <v>35</v>
          </cell>
          <cell r="L3381">
            <v>0</v>
          </cell>
        </row>
        <row r="3382">
          <cell r="B3382">
            <v>2019</v>
          </cell>
          <cell r="C3382">
            <v>12</v>
          </cell>
          <cell r="E3382" t="str">
            <v>DET</v>
          </cell>
          <cell r="I3382">
            <v>16</v>
          </cell>
          <cell r="J3382">
            <v>19</v>
          </cell>
          <cell r="L3382">
            <v>0</v>
          </cell>
        </row>
        <row r="3383">
          <cell r="B3383">
            <v>2019</v>
          </cell>
          <cell r="C3383">
            <v>13</v>
          </cell>
          <cell r="E3383" t="str">
            <v>DET</v>
          </cell>
          <cell r="I3383">
            <v>20</v>
          </cell>
          <cell r="J3383">
            <v>24</v>
          </cell>
          <cell r="L3383">
            <v>0</v>
          </cell>
        </row>
        <row r="3384">
          <cell r="B3384">
            <v>2019</v>
          </cell>
          <cell r="C3384">
            <v>14</v>
          </cell>
          <cell r="E3384" t="str">
            <v>DET</v>
          </cell>
          <cell r="I3384">
            <v>7</v>
          </cell>
          <cell r="J3384">
            <v>20</v>
          </cell>
          <cell r="L3384">
            <v>0</v>
          </cell>
        </row>
        <row r="3385">
          <cell r="B3385">
            <v>2019</v>
          </cell>
          <cell r="C3385">
            <v>15</v>
          </cell>
          <cell r="E3385" t="str">
            <v>DET</v>
          </cell>
          <cell r="I3385">
            <v>17</v>
          </cell>
          <cell r="J3385">
            <v>38</v>
          </cell>
          <cell r="L3385">
            <v>0</v>
          </cell>
        </row>
        <row r="3386">
          <cell r="B3386">
            <v>2019</v>
          </cell>
          <cell r="C3386">
            <v>16</v>
          </cell>
          <cell r="E3386" t="str">
            <v>DET</v>
          </cell>
          <cell r="I3386">
            <v>17</v>
          </cell>
          <cell r="J3386">
            <v>27</v>
          </cell>
          <cell r="L3386">
            <v>0</v>
          </cell>
        </row>
        <row r="3387">
          <cell r="B3387">
            <v>2019</v>
          </cell>
          <cell r="C3387">
            <v>17</v>
          </cell>
          <cell r="E3387" t="str">
            <v>DET</v>
          </cell>
          <cell r="I3387">
            <v>20</v>
          </cell>
          <cell r="J3387">
            <v>23</v>
          </cell>
          <cell r="L3387">
            <v>0</v>
          </cell>
        </row>
        <row r="3388">
          <cell r="B3388">
            <v>2020</v>
          </cell>
          <cell r="C3388">
            <v>1</v>
          </cell>
          <cell r="E3388" t="str">
            <v>DET</v>
          </cell>
          <cell r="I3388">
            <v>23</v>
          </cell>
          <cell r="J3388">
            <v>27</v>
          </cell>
          <cell r="L3388">
            <v>0</v>
          </cell>
        </row>
        <row r="3389">
          <cell r="B3389">
            <v>2020</v>
          </cell>
          <cell r="C3389">
            <v>2</v>
          </cell>
          <cell r="E3389" t="str">
            <v>DET</v>
          </cell>
          <cell r="I3389">
            <v>21</v>
          </cell>
          <cell r="J3389">
            <v>42</v>
          </cell>
          <cell r="L3389">
            <v>0</v>
          </cell>
        </row>
        <row r="3390">
          <cell r="B3390">
            <v>2020</v>
          </cell>
          <cell r="C3390">
            <v>3</v>
          </cell>
          <cell r="E3390" t="str">
            <v>DET</v>
          </cell>
          <cell r="I3390">
            <v>26</v>
          </cell>
          <cell r="J3390">
            <v>23</v>
          </cell>
          <cell r="L3390">
            <v>0</v>
          </cell>
        </row>
        <row r="3391">
          <cell r="B3391">
            <v>2020</v>
          </cell>
          <cell r="C3391">
            <v>4</v>
          </cell>
          <cell r="E3391" t="str">
            <v>DET</v>
          </cell>
          <cell r="I3391">
            <v>29</v>
          </cell>
          <cell r="J3391">
            <v>35</v>
          </cell>
          <cell r="L3391">
            <v>0</v>
          </cell>
        </row>
        <row r="3392">
          <cell r="B3392">
            <v>2020</v>
          </cell>
          <cell r="C3392">
            <v>6</v>
          </cell>
          <cell r="E3392" t="str">
            <v>DET</v>
          </cell>
          <cell r="I3392">
            <v>34</v>
          </cell>
          <cell r="J3392">
            <v>16</v>
          </cell>
          <cell r="L3392">
            <v>0</v>
          </cell>
        </row>
        <row r="3393">
          <cell r="B3393">
            <v>2020</v>
          </cell>
          <cell r="C3393">
            <v>7</v>
          </cell>
          <cell r="E3393" t="str">
            <v>DET</v>
          </cell>
          <cell r="I3393">
            <v>23</v>
          </cell>
          <cell r="J3393">
            <v>22</v>
          </cell>
          <cell r="L3393">
            <v>0</v>
          </cell>
        </row>
        <row r="3394">
          <cell r="B3394">
            <v>2020</v>
          </cell>
          <cell r="C3394">
            <v>8</v>
          </cell>
          <cell r="E3394" t="str">
            <v>DET</v>
          </cell>
          <cell r="I3394">
            <v>21</v>
          </cell>
          <cell r="J3394">
            <v>41</v>
          </cell>
          <cell r="L3394">
            <v>0</v>
          </cell>
        </row>
        <row r="3395">
          <cell r="B3395">
            <v>2020</v>
          </cell>
          <cell r="C3395">
            <v>9</v>
          </cell>
          <cell r="E3395" t="str">
            <v>DET</v>
          </cell>
          <cell r="I3395">
            <v>20</v>
          </cell>
          <cell r="J3395">
            <v>34</v>
          </cell>
          <cell r="L3395">
            <v>0</v>
          </cell>
        </row>
        <row r="3396">
          <cell r="B3396">
            <v>2020</v>
          </cell>
          <cell r="C3396">
            <v>10</v>
          </cell>
          <cell r="E3396" t="str">
            <v>DET</v>
          </cell>
          <cell r="I3396">
            <v>30</v>
          </cell>
          <cell r="J3396">
            <v>27</v>
          </cell>
          <cell r="L3396">
            <v>0</v>
          </cell>
        </row>
        <row r="3397">
          <cell r="B3397">
            <v>2020</v>
          </cell>
          <cell r="C3397">
            <v>11</v>
          </cell>
          <cell r="E3397" t="str">
            <v>DET</v>
          </cell>
          <cell r="I3397">
            <v>0</v>
          </cell>
          <cell r="J3397">
            <v>20</v>
          </cell>
          <cell r="L3397">
            <v>0</v>
          </cell>
        </row>
        <row r="3398">
          <cell r="B3398">
            <v>2020</v>
          </cell>
          <cell r="C3398">
            <v>12</v>
          </cell>
          <cell r="E3398" t="str">
            <v>DET</v>
          </cell>
          <cell r="I3398">
            <v>25</v>
          </cell>
          <cell r="J3398">
            <v>41</v>
          </cell>
          <cell r="L3398">
            <v>0</v>
          </cell>
        </row>
        <row r="3399">
          <cell r="B3399">
            <v>2020</v>
          </cell>
          <cell r="C3399">
            <v>13</v>
          </cell>
          <cell r="E3399" t="str">
            <v>DET</v>
          </cell>
          <cell r="I3399">
            <v>34</v>
          </cell>
          <cell r="J3399">
            <v>30</v>
          </cell>
          <cell r="L3399">
            <v>0</v>
          </cell>
        </row>
        <row r="3400">
          <cell r="B3400">
            <v>2020</v>
          </cell>
          <cell r="C3400">
            <v>14</v>
          </cell>
          <cell r="E3400" t="str">
            <v>DET</v>
          </cell>
          <cell r="I3400">
            <v>24</v>
          </cell>
          <cell r="J3400">
            <v>31</v>
          </cell>
          <cell r="L3400">
            <v>0</v>
          </cell>
        </row>
        <row r="3401">
          <cell r="B3401">
            <v>2020</v>
          </cell>
          <cell r="C3401">
            <v>15</v>
          </cell>
          <cell r="E3401" t="str">
            <v>DET</v>
          </cell>
          <cell r="I3401">
            <v>25</v>
          </cell>
          <cell r="J3401">
            <v>46</v>
          </cell>
          <cell r="L3401">
            <v>0</v>
          </cell>
        </row>
        <row r="3402">
          <cell r="B3402">
            <v>2020</v>
          </cell>
          <cell r="C3402">
            <v>16</v>
          </cell>
          <cell r="E3402" t="str">
            <v>DET</v>
          </cell>
          <cell r="I3402">
            <v>7</v>
          </cell>
          <cell r="J3402">
            <v>47</v>
          </cell>
          <cell r="L3402">
            <v>0</v>
          </cell>
        </row>
        <row r="3403">
          <cell r="B3403">
            <v>2020</v>
          </cell>
          <cell r="C3403">
            <v>17</v>
          </cell>
          <cell r="E3403" t="str">
            <v>DET</v>
          </cell>
          <cell r="I3403">
            <v>35</v>
          </cell>
          <cell r="J3403">
            <v>37</v>
          </cell>
          <cell r="L3403">
            <v>0</v>
          </cell>
        </row>
        <row r="3404">
          <cell r="B3404">
            <v>2021</v>
          </cell>
          <cell r="C3404">
            <v>1</v>
          </cell>
          <cell r="E3404" t="str">
            <v>DET</v>
          </cell>
          <cell r="I3404">
            <v>33</v>
          </cell>
          <cell r="J3404">
            <v>41</v>
          </cell>
          <cell r="L3404">
            <v>0</v>
          </cell>
        </row>
        <row r="3405">
          <cell r="B3405">
            <v>2021</v>
          </cell>
          <cell r="C3405">
            <v>2</v>
          </cell>
          <cell r="E3405" t="str">
            <v>DET</v>
          </cell>
          <cell r="I3405">
            <v>17</v>
          </cell>
          <cell r="J3405">
            <v>35</v>
          </cell>
          <cell r="L3405">
            <v>0</v>
          </cell>
        </row>
        <row r="3406">
          <cell r="B3406">
            <v>2021</v>
          </cell>
          <cell r="C3406">
            <v>3</v>
          </cell>
          <cell r="E3406" t="str">
            <v>DET</v>
          </cell>
          <cell r="I3406">
            <v>17</v>
          </cell>
          <cell r="J3406">
            <v>19</v>
          </cell>
          <cell r="L3406">
            <v>0</v>
          </cell>
        </row>
        <row r="3407">
          <cell r="B3407">
            <v>2021</v>
          </cell>
          <cell r="C3407">
            <v>4</v>
          </cell>
          <cell r="E3407" t="str">
            <v>DET</v>
          </cell>
          <cell r="I3407">
            <v>14</v>
          </cell>
          <cell r="J3407">
            <v>24</v>
          </cell>
          <cell r="L3407">
            <v>0</v>
          </cell>
        </row>
        <row r="3408">
          <cell r="B3408">
            <v>2021</v>
          </cell>
          <cell r="C3408">
            <v>5</v>
          </cell>
          <cell r="E3408" t="str">
            <v>DET</v>
          </cell>
          <cell r="I3408">
            <v>17</v>
          </cell>
          <cell r="J3408">
            <v>19</v>
          </cell>
          <cell r="L3408">
            <v>0</v>
          </cell>
        </row>
        <row r="3409">
          <cell r="B3409">
            <v>2021</v>
          </cell>
          <cell r="C3409">
            <v>6</v>
          </cell>
          <cell r="E3409" t="str">
            <v>DET</v>
          </cell>
          <cell r="I3409">
            <v>11</v>
          </cell>
          <cell r="J3409">
            <v>34</v>
          </cell>
          <cell r="L3409">
            <v>0</v>
          </cell>
        </row>
        <row r="3410">
          <cell r="B3410">
            <v>2021</v>
          </cell>
          <cell r="C3410">
            <v>7</v>
          </cell>
          <cell r="E3410" t="str">
            <v>DET</v>
          </cell>
          <cell r="I3410">
            <v>19</v>
          </cell>
          <cell r="J3410">
            <v>28</v>
          </cell>
          <cell r="L3410">
            <v>0</v>
          </cell>
        </row>
        <row r="3411">
          <cell r="B3411">
            <v>2021</v>
          </cell>
          <cell r="C3411">
            <v>8</v>
          </cell>
          <cell r="E3411" t="str">
            <v>DET</v>
          </cell>
          <cell r="I3411">
            <v>6</v>
          </cell>
          <cell r="J3411">
            <v>44</v>
          </cell>
          <cell r="L3411">
            <v>0</v>
          </cell>
        </row>
        <row r="3412">
          <cell r="B3412">
            <v>2021</v>
          </cell>
          <cell r="C3412">
            <v>10</v>
          </cell>
          <cell r="E3412" t="str">
            <v>DET</v>
          </cell>
          <cell r="I3412">
            <v>16</v>
          </cell>
          <cell r="J3412">
            <v>16</v>
          </cell>
          <cell r="L3412">
            <v>0</v>
          </cell>
        </row>
        <row r="3413">
          <cell r="B3413">
            <v>2021</v>
          </cell>
          <cell r="C3413">
            <v>11</v>
          </cell>
          <cell r="E3413" t="str">
            <v>DET</v>
          </cell>
          <cell r="I3413">
            <v>10</v>
          </cell>
          <cell r="J3413">
            <v>13</v>
          </cell>
          <cell r="L3413">
            <v>0</v>
          </cell>
        </row>
        <row r="3414">
          <cell r="B3414">
            <v>2021</v>
          </cell>
          <cell r="C3414">
            <v>12</v>
          </cell>
          <cell r="E3414" t="str">
            <v>DET</v>
          </cell>
          <cell r="I3414">
            <v>14</v>
          </cell>
          <cell r="J3414">
            <v>16</v>
          </cell>
          <cell r="L3414">
            <v>0</v>
          </cell>
        </row>
        <row r="3415">
          <cell r="B3415">
            <v>2021</v>
          </cell>
          <cell r="C3415">
            <v>13</v>
          </cell>
          <cell r="E3415" t="str">
            <v>DET</v>
          </cell>
          <cell r="I3415">
            <v>29</v>
          </cell>
          <cell r="J3415">
            <v>27</v>
          </cell>
          <cell r="L3415">
            <v>0</v>
          </cell>
        </row>
        <row r="3416">
          <cell r="B3416">
            <v>2021</v>
          </cell>
          <cell r="C3416">
            <v>14</v>
          </cell>
          <cell r="E3416" t="str">
            <v>DET</v>
          </cell>
          <cell r="I3416">
            <v>10</v>
          </cell>
          <cell r="J3416">
            <v>38</v>
          </cell>
          <cell r="L3416">
            <v>0</v>
          </cell>
        </row>
        <row r="3417">
          <cell r="B3417">
            <v>2021</v>
          </cell>
          <cell r="C3417">
            <v>15</v>
          </cell>
          <cell r="E3417" t="str">
            <v>DET</v>
          </cell>
          <cell r="I3417">
            <v>30</v>
          </cell>
          <cell r="J3417">
            <v>12</v>
          </cell>
          <cell r="L3417">
            <v>0</v>
          </cell>
        </row>
        <row r="3418">
          <cell r="B3418">
            <v>2021</v>
          </cell>
          <cell r="C3418">
            <v>16</v>
          </cell>
          <cell r="E3418" t="str">
            <v>DET</v>
          </cell>
          <cell r="I3418">
            <v>16</v>
          </cell>
          <cell r="J3418">
            <v>20</v>
          </cell>
          <cell r="L3418">
            <v>0</v>
          </cell>
        </row>
        <row r="3419">
          <cell r="B3419">
            <v>2021</v>
          </cell>
          <cell r="C3419">
            <v>17</v>
          </cell>
          <cell r="E3419" t="str">
            <v>DET</v>
          </cell>
          <cell r="I3419">
            <v>29</v>
          </cell>
          <cell r="J3419">
            <v>51</v>
          </cell>
          <cell r="L3419">
            <v>0</v>
          </cell>
        </row>
        <row r="3420">
          <cell r="B3420">
            <v>2021</v>
          </cell>
          <cell r="C3420">
            <v>18</v>
          </cell>
          <cell r="E3420" t="str">
            <v>DET</v>
          </cell>
          <cell r="I3420">
            <v>37</v>
          </cell>
          <cell r="J3420">
            <v>30</v>
          </cell>
          <cell r="L3420">
            <v>0</v>
          </cell>
        </row>
        <row r="3421">
          <cell r="B3421">
            <v>2022</v>
          </cell>
          <cell r="C3421">
            <v>1</v>
          </cell>
          <cell r="E3421" t="str">
            <v>DET</v>
          </cell>
          <cell r="I3421">
            <v>35</v>
          </cell>
          <cell r="J3421">
            <v>38</v>
          </cell>
          <cell r="L3421">
            <v>0</v>
          </cell>
        </row>
        <row r="3422">
          <cell r="B3422">
            <v>2022</v>
          </cell>
          <cell r="C3422">
            <v>2</v>
          </cell>
          <cell r="E3422" t="str">
            <v>DET</v>
          </cell>
          <cell r="I3422">
            <v>36</v>
          </cell>
          <cell r="J3422">
            <v>27</v>
          </cell>
          <cell r="L3422">
            <v>0</v>
          </cell>
        </row>
        <row r="3423">
          <cell r="B3423">
            <v>2022</v>
          </cell>
          <cell r="C3423">
            <v>3</v>
          </cell>
          <cell r="E3423" t="str">
            <v>DET</v>
          </cell>
          <cell r="I3423">
            <v>24</v>
          </cell>
          <cell r="J3423">
            <v>28</v>
          </cell>
          <cell r="L3423">
            <v>0</v>
          </cell>
        </row>
        <row r="3424">
          <cell r="B3424">
            <v>2022</v>
          </cell>
          <cell r="C3424">
            <v>4</v>
          </cell>
          <cell r="E3424" t="str">
            <v>DET</v>
          </cell>
          <cell r="I3424">
            <v>45</v>
          </cell>
          <cell r="J3424">
            <v>48</v>
          </cell>
          <cell r="L3424">
            <v>0</v>
          </cell>
        </row>
        <row r="3425">
          <cell r="B3425">
            <v>2022</v>
          </cell>
          <cell r="C3425">
            <v>5</v>
          </cell>
          <cell r="E3425" t="str">
            <v>DET</v>
          </cell>
          <cell r="I3425">
            <v>0</v>
          </cell>
          <cell r="J3425">
            <v>29</v>
          </cell>
          <cell r="L3425">
            <v>0</v>
          </cell>
        </row>
        <row r="3426">
          <cell r="B3426">
            <v>2022</v>
          </cell>
          <cell r="C3426">
            <v>7</v>
          </cell>
          <cell r="E3426" t="str">
            <v>DET</v>
          </cell>
          <cell r="I3426">
            <v>6</v>
          </cell>
          <cell r="J3426">
            <v>24</v>
          </cell>
          <cell r="L3426">
            <v>0</v>
          </cell>
        </row>
        <row r="3427">
          <cell r="B3427">
            <v>2022</v>
          </cell>
          <cell r="C3427">
            <v>8</v>
          </cell>
          <cell r="E3427" t="str">
            <v>DET</v>
          </cell>
          <cell r="I3427">
            <v>27</v>
          </cell>
          <cell r="J3427">
            <v>31</v>
          </cell>
          <cell r="L3427">
            <v>0</v>
          </cell>
        </row>
        <row r="3428">
          <cell r="B3428">
            <v>2022</v>
          </cell>
          <cell r="C3428">
            <v>9</v>
          </cell>
          <cell r="E3428" t="str">
            <v>DET</v>
          </cell>
          <cell r="I3428">
            <v>15</v>
          </cell>
          <cell r="J3428">
            <v>9</v>
          </cell>
          <cell r="L3428">
            <v>0</v>
          </cell>
        </row>
        <row r="3429">
          <cell r="B3429">
            <v>2022</v>
          </cell>
          <cell r="C3429">
            <v>10</v>
          </cell>
          <cell r="E3429" t="str">
            <v>DET</v>
          </cell>
          <cell r="I3429">
            <v>31</v>
          </cell>
          <cell r="J3429">
            <v>30</v>
          </cell>
          <cell r="L3429">
            <v>0</v>
          </cell>
        </row>
        <row r="3430">
          <cell r="B3430">
            <v>2022</v>
          </cell>
          <cell r="C3430">
            <v>11</v>
          </cell>
          <cell r="E3430" t="str">
            <v>DET</v>
          </cell>
          <cell r="I3430">
            <v>31</v>
          </cell>
          <cell r="J3430">
            <v>18</v>
          </cell>
          <cell r="L3430">
            <v>0</v>
          </cell>
        </row>
        <row r="3431">
          <cell r="B3431">
            <v>2022</v>
          </cell>
          <cell r="C3431">
            <v>12</v>
          </cell>
          <cell r="E3431" t="str">
            <v>DET</v>
          </cell>
          <cell r="I3431">
            <v>25</v>
          </cell>
          <cell r="J3431">
            <v>28</v>
          </cell>
          <cell r="L3431">
            <v>0</v>
          </cell>
        </row>
        <row r="3432">
          <cell r="B3432">
            <v>2022</v>
          </cell>
          <cell r="C3432">
            <v>13</v>
          </cell>
          <cell r="E3432" t="str">
            <v>DET</v>
          </cell>
          <cell r="I3432">
            <v>40</v>
          </cell>
          <cell r="J3432">
            <v>14</v>
          </cell>
          <cell r="L3432">
            <v>0</v>
          </cell>
        </row>
        <row r="3433">
          <cell r="B3433">
            <v>2022</v>
          </cell>
          <cell r="C3433">
            <v>14</v>
          </cell>
          <cell r="E3433" t="str">
            <v>DET</v>
          </cell>
          <cell r="I3433">
            <v>34</v>
          </cell>
          <cell r="J3433">
            <v>23</v>
          </cell>
          <cell r="L3433">
            <v>0</v>
          </cell>
        </row>
        <row r="3434">
          <cell r="B3434">
            <v>2022</v>
          </cell>
          <cell r="C3434">
            <v>15</v>
          </cell>
          <cell r="E3434" t="str">
            <v>DET</v>
          </cell>
          <cell r="I3434">
            <v>20</v>
          </cell>
          <cell r="J3434">
            <v>17</v>
          </cell>
          <cell r="L3434">
            <v>0</v>
          </cell>
        </row>
        <row r="3435">
          <cell r="B3435">
            <v>2022</v>
          </cell>
          <cell r="C3435">
            <v>16</v>
          </cell>
          <cell r="E3435" t="str">
            <v>DET</v>
          </cell>
          <cell r="I3435">
            <v>23</v>
          </cell>
          <cell r="J3435">
            <v>37</v>
          </cell>
          <cell r="L3435">
            <v>0</v>
          </cell>
        </row>
        <row r="3436">
          <cell r="B3436">
            <v>2022</v>
          </cell>
          <cell r="C3436">
            <v>17</v>
          </cell>
          <cell r="E3436" t="str">
            <v>DET</v>
          </cell>
          <cell r="I3436">
            <v>41</v>
          </cell>
          <cell r="J3436">
            <v>10</v>
          </cell>
          <cell r="L3436">
            <v>0</v>
          </cell>
        </row>
        <row r="3437">
          <cell r="B3437">
            <v>2022</v>
          </cell>
          <cell r="C3437">
            <v>18</v>
          </cell>
          <cell r="E3437" t="str">
            <v>DET</v>
          </cell>
          <cell r="I3437">
            <v>20</v>
          </cell>
          <cell r="J3437">
            <v>16</v>
          </cell>
          <cell r="L3437">
            <v>0</v>
          </cell>
        </row>
        <row r="3438">
          <cell r="B3438">
            <v>2023</v>
          </cell>
          <cell r="C3438">
            <v>1</v>
          </cell>
          <cell r="E3438" t="str">
            <v>DET</v>
          </cell>
          <cell r="I3438">
            <v>21</v>
          </cell>
          <cell r="J3438">
            <v>20</v>
          </cell>
          <cell r="L3438">
            <v>0</v>
          </cell>
        </row>
        <row r="3439">
          <cell r="B3439">
            <v>2023</v>
          </cell>
          <cell r="C3439">
            <v>2</v>
          </cell>
          <cell r="E3439" t="str">
            <v>DET</v>
          </cell>
          <cell r="I3439">
            <v>31</v>
          </cell>
          <cell r="J3439">
            <v>37</v>
          </cell>
          <cell r="L3439">
            <v>0</v>
          </cell>
        </row>
        <row r="3440">
          <cell r="B3440">
            <v>2023</v>
          </cell>
          <cell r="C3440">
            <v>3</v>
          </cell>
          <cell r="E3440" t="str">
            <v>DET</v>
          </cell>
          <cell r="I3440">
            <v>20</v>
          </cell>
          <cell r="J3440">
            <v>6</v>
          </cell>
          <cell r="L3440">
            <v>0</v>
          </cell>
        </row>
        <row r="3441">
          <cell r="B3441">
            <v>2023</v>
          </cell>
          <cell r="C3441">
            <v>4</v>
          </cell>
          <cell r="E3441" t="str">
            <v>DET</v>
          </cell>
          <cell r="I3441">
            <v>34</v>
          </cell>
          <cell r="J3441">
            <v>20</v>
          </cell>
          <cell r="L3441">
            <v>0</v>
          </cell>
        </row>
        <row r="3442">
          <cell r="B3442">
            <v>2023</v>
          </cell>
          <cell r="C3442">
            <v>5</v>
          </cell>
          <cell r="E3442" t="str">
            <v>DET</v>
          </cell>
          <cell r="I3442">
            <v>42</v>
          </cell>
          <cell r="J3442">
            <v>24</v>
          </cell>
          <cell r="L3442">
            <v>0</v>
          </cell>
        </row>
        <row r="3443">
          <cell r="B3443">
            <v>2023</v>
          </cell>
          <cell r="C3443">
            <v>6</v>
          </cell>
          <cell r="E3443" t="str">
            <v>DET</v>
          </cell>
          <cell r="I3443">
            <v>20</v>
          </cell>
          <cell r="J3443">
            <v>6</v>
          </cell>
          <cell r="L3443">
            <v>0</v>
          </cell>
        </row>
        <row r="3444">
          <cell r="B3444">
            <v>2023</v>
          </cell>
          <cell r="C3444">
            <v>7</v>
          </cell>
          <cell r="E3444" t="str">
            <v>DET</v>
          </cell>
          <cell r="I3444">
            <v>6</v>
          </cell>
          <cell r="J3444">
            <v>38</v>
          </cell>
          <cell r="L3444">
            <v>0</v>
          </cell>
        </row>
        <row r="3445">
          <cell r="B3445">
            <v>2023</v>
          </cell>
          <cell r="C3445">
            <v>8</v>
          </cell>
          <cell r="E3445" t="str">
            <v>DET</v>
          </cell>
          <cell r="I3445">
            <v>26</v>
          </cell>
          <cell r="J3445">
            <v>14</v>
          </cell>
          <cell r="L3445">
            <v>0</v>
          </cell>
        </row>
        <row r="3446">
          <cell r="B3446">
            <v>2023</v>
          </cell>
          <cell r="C3446">
            <v>10</v>
          </cell>
          <cell r="E3446" t="str">
            <v>DET</v>
          </cell>
          <cell r="I3446">
            <v>41</v>
          </cell>
          <cell r="J3446">
            <v>38</v>
          </cell>
          <cell r="L3446">
            <v>0</v>
          </cell>
        </row>
        <row r="3447">
          <cell r="B3447">
            <v>2023</v>
          </cell>
          <cell r="C3447">
            <v>11</v>
          </cell>
          <cell r="E3447" t="str">
            <v>DET</v>
          </cell>
          <cell r="I3447">
            <v>31</v>
          </cell>
          <cell r="J3447">
            <v>26</v>
          </cell>
          <cell r="L3447">
            <v>0</v>
          </cell>
        </row>
        <row r="3448">
          <cell r="B3448">
            <v>2023</v>
          </cell>
          <cell r="C3448">
            <v>12</v>
          </cell>
          <cell r="E3448" t="str">
            <v>DET</v>
          </cell>
          <cell r="I3448">
            <v>22</v>
          </cell>
          <cell r="J3448">
            <v>29</v>
          </cell>
          <cell r="L3448">
            <v>0</v>
          </cell>
        </row>
        <row r="3449">
          <cell r="B3449">
            <v>2023</v>
          </cell>
          <cell r="C3449">
            <v>13</v>
          </cell>
          <cell r="E3449" t="str">
            <v>DET</v>
          </cell>
          <cell r="I3449">
            <v>33</v>
          </cell>
          <cell r="J3449">
            <v>28</v>
          </cell>
          <cell r="L3449">
            <v>0</v>
          </cell>
        </row>
        <row r="3450">
          <cell r="B3450">
            <v>2023</v>
          </cell>
          <cell r="C3450">
            <v>14</v>
          </cell>
          <cell r="E3450" t="str">
            <v>DET</v>
          </cell>
          <cell r="I3450">
            <v>13</v>
          </cell>
          <cell r="J3450">
            <v>28</v>
          </cell>
          <cell r="L3450">
            <v>0</v>
          </cell>
        </row>
        <row r="3451">
          <cell r="B3451">
            <v>2023</v>
          </cell>
          <cell r="C3451">
            <v>15</v>
          </cell>
          <cell r="E3451" t="str">
            <v>DET</v>
          </cell>
          <cell r="I3451">
            <v>42</v>
          </cell>
          <cell r="J3451">
            <v>17</v>
          </cell>
          <cell r="L3451">
            <v>0</v>
          </cell>
        </row>
        <row r="3452">
          <cell r="B3452">
            <v>2023</v>
          </cell>
          <cell r="C3452">
            <v>16</v>
          </cell>
          <cell r="E3452" t="str">
            <v>DET</v>
          </cell>
          <cell r="I3452">
            <v>30</v>
          </cell>
          <cell r="J3452">
            <v>24</v>
          </cell>
          <cell r="L3452">
            <v>0</v>
          </cell>
        </row>
        <row r="3453">
          <cell r="B3453">
            <v>2023</v>
          </cell>
          <cell r="C3453">
            <v>17</v>
          </cell>
          <cell r="E3453" t="str">
            <v>DET</v>
          </cell>
          <cell r="I3453">
            <v>19</v>
          </cell>
          <cell r="J3453">
            <v>20</v>
          </cell>
          <cell r="L3453">
            <v>0</v>
          </cell>
        </row>
        <row r="3454">
          <cell r="B3454">
            <v>2023</v>
          </cell>
          <cell r="C3454">
            <v>18</v>
          </cell>
          <cell r="E3454" t="str">
            <v>DET</v>
          </cell>
          <cell r="I3454">
            <v>30</v>
          </cell>
          <cell r="J3454">
            <v>20</v>
          </cell>
          <cell r="L3454">
            <v>0</v>
          </cell>
        </row>
        <row r="3455">
          <cell r="B3455">
            <v>2023</v>
          </cell>
          <cell r="C3455">
            <v>1</v>
          </cell>
          <cell r="E3455" t="str">
            <v>DET</v>
          </cell>
          <cell r="I3455">
            <v>24</v>
          </cell>
          <cell r="J3455">
            <v>23</v>
          </cell>
          <cell r="L3455">
            <v>1</v>
          </cell>
        </row>
        <row r="3456">
          <cell r="B3456">
            <v>2023</v>
          </cell>
          <cell r="C3456">
            <v>2</v>
          </cell>
          <cell r="E3456" t="str">
            <v>DET</v>
          </cell>
          <cell r="I3456">
            <v>31</v>
          </cell>
          <cell r="J3456">
            <v>23</v>
          </cell>
          <cell r="L3456">
            <v>1</v>
          </cell>
        </row>
        <row r="3457">
          <cell r="B3457">
            <v>2023</v>
          </cell>
          <cell r="C3457">
            <v>3</v>
          </cell>
          <cell r="E3457" t="str">
            <v>DET</v>
          </cell>
          <cell r="I3457">
            <v>31</v>
          </cell>
          <cell r="J3457">
            <v>34</v>
          </cell>
          <cell r="L3457">
            <v>1</v>
          </cell>
        </row>
        <row r="3458">
          <cell r="B3458">
            <v>2024</v>
          </cell>
          <cell r="C3458">
            <v>1</v>
          </cell>
          <cell r="E3458" t="str">
            <v>DET</v>
          </cell>
          <cell r="I3458">
            <v>26</v>
          </cell>
          <cell r="J3458">
            <v>20</v>
          </cell>
          <cell r="L3458">
            <v>0</v>
          </cell>
        </row>
        <row r="3459">
          <cell r="B3459">
            <v>2024</v>
          </cell>
          <cell r="C3459">
            <v>2</v>
          </cell>
          <cell r="E3459" t="str">
            <v>DET</v>
          </cell>
          <cell r="I3459">
            <v>16</v>
          </cell>
          <cell r="J3459">
            <v>20</v>
          </cell>
          <cell r="L3459">
            <v>0</v>
          </cell>
        </row>
        <row r="3460">
          <cell r="B3460">
            <v>2024</v>
          </cell>
          <cell r="C3460">
            <v>3</v>
          </cell>
          <cell r="E3460" t="str">
            <v>DET</v>
          </cell>
          <cell r="I3460">
            <v>20</v>
          </cell>
          <cell r="J3460">
            <v>13</v>
          </cell>
          <cell r="L3460">
            <v>0</v>
          </cell>
        </row>
        <row r="3461">
          <cell r="B3461">
            <v>2024</v>
          </cell>
          <cell r="C3461">
            <v>4</v>
          </cell>
          <cell r="E3461" t="str">
            <v>DET</v>
          </cell>
          <cell r="I3461">
            <v>42</v>
          </cell>
          <cell r="J3461">
            <v>29</v>
          </cell>
          <cell r="L3461">
            <v>0</v>
          </cell>
        </row>
        <row r="3462">
          <cell r="B3462">
            <v>2024</v>
          </cell>
          <cell r="C3462">
            <v>6</v>
          </cell>
          <cell r="E3462" t="str">
            <v>DET</v>
          </cell>
          <cell r="I3462">
            <v>47</v>
          </cell>
          <cell r="J3462">
            <v>9</v>
          </cell>
          <cell r="L3462">
            <v>0</v>
          </cell>
        </row>
        <row r="3463">
          <cell r="B3463">
            <v>2024</v>
          </cell>
          <cell r="C3463">
            <v>7</v>
          </cell>
          <cell r="E3463" t="str">
            <v>DET</v>
          </cell>
          <cell r="I3463">
            <v>31</v>
          </cell>
          <cell r="J3463">
            <v>29</v>
          </cell>
          <cell r="L3463">
            <v>0</v>
          </cell>
        </row>
        <row r="3464">
          <cell r="B3464">
            <v>2024</v>
          </cell>
          <cell r="C3464">
            <v>8</v>
          </cell>
          <cell r="E3464" t="str">
            <v>DET</v>
          </cell>
          <cell r="I3464">
            <v>52</v>
          </cell>
          <cell r="J3464">
            <v>14</v>
          </cell>
          <cell r="L3464">
            <v>0</v>
          </cell>
        </row>
        <row r="3465">
          <cell r="B3465">
            <v>2024</v>
          </cell>
          <cell r="C3465">
            <v>9</v>
          </cell>
          <cell r="E3465" t="str">
            <v>DET</v>
          </cell>
          <cell r="I3465">
            <v>24</v>
          </cell>
          <cell r="J3465">
            <v>14</v>
          </cell>
          <cell r="L3465">
            <v>0</v>
          </cell>
        </row>
        <row r="3466">
          <cell r="B3466">
            <v>2024</v>
          </cell>
          <cell r="C3466">
            <v>10</v>
          </cell>
          <cell r="E3466" t="str">
            <v>DET</v>
          </cell>
          <cell r="I3466">
            <v>26</v>
          </cell>
          <cell r="J3466">
            <v>23</v>
          </cell>
          <cell r="L3466">
            <v>0</v>
          </cell>
        </row>
        <row r="3467">
          <cell r="B3467">
            <v>2024</v>
          </cell>
          <cell r="C3467">
            <v>11</v>
          </cell>
          <cell r="E3467" t="str">
            <v>DET</v>
          </cell>
          <cell r="I3467">
            <v>52</v>
          </cell>
          <cell r="J3467">
            <v>6</v>
          </cell>
          <cell r="L3467">
            <v>0</v>
          </cell>
        </row>
        <row r="3468">
          <cell r="B3468">
            <v>2024</v>
          </cell>
          <cell r="C3468">
            <v>12</v>
          </cell>
          <cell r="E3468" t="str">
            <v>DET</v>
          </cell>
          <cell r="I3468">
            <v>24</v>
          </cell>
          <cell r="J3468">
            <v>6</v>
          </cell>
          <cell r="L3468">
            <v>0</v>
          </cell>
        </row>
        <row r="3469">
          <cell r="B3469">
            <v>2024</v>
          </cell>
          <cell r="C3469">
            <v>13</v>
          </cell>
          <cell r="E3469" t="str">
            <v>DET</v>
          </cell>
          <cell r="I3469">
            <v>23</v>
          </cell>
          <cell r="J3469">
            <v>20</v>
          </cell>
          <cell r="L3469">
            <v>0</v>
          </cell>
        </row>
        <row r="3470">
          <cell r="B3470">
            <v>2024</v>
          </cell>
          <cell r="C3470">
            <v>14</v>
          </cell>
          <cell r="E3470" t="str">
            <v>DET</v>
          </cell>
          <cell r="I3470">
            <v>34</v>
          </cell>
          <cell r="J3470">
            <v>31</v>
          </cell>
          <cell r="L3470">
            <v>0</v>
          </cell>
        </row>
        <row r="3471">
          <cell r="B3471">
            <v>2024</v>
          </cell>
          <cell r="C3471">
            <v>15</v>
          </cell>
          <cell r="E3471" t="str">
            <v>DET</v>
          </cell>
          <cell r="I3471">
            <v>42</v>
          </cell>
          <cell r="J3471">
            <v>48</v>
          </cell>
          <cell r="L3471">
            <v>0</v>
          </cell>
        </row>
        <row r="3472">
          <cell r="B3472">
            <v>2024</v>
          </cell>
          <cell r="C3472">
            <v>16</v>
          </cell>
          <cell r="E3472" t="str">
            <v>DET</v>
          </cell>
          <cell r="I3472">
            <v>34</v>
          </cell>
          <cell r="J3472">
            <v>17</v>
          </cell>
          <cell r="L3472">
            <v>0</v>
          </cell>
        </row>
        <row r="3473">
          <cell r="B3473">
            <v>2024</v>
          </cell>
          <cell r="C3473">
            <v>17</v>
          </cell>
          <cell r="E3473" t="str">
            <v>DET</v>
          </cell>
          <cell r="I3473">
            <v>40</v>
          </cell>
          <cell r="J3473">
            <v>34</v>
          </cell>
          <cell r="L3473">
            <v>0</v>
          </cell>
        </row>
        <row r="3474">
          <cell r="B3474">
            <v>2024</v>
          </cell>
          <cell r="C3474">
            <v>18</v>
          </cell>
          <cell r="E3474" t="str">
            <v>DET</v>
          </cell>
          <cell r="I3474">
            <v>31</v>
          </cell>
          <cell r="J3474">
            <v>9</v>
          </cell>
          <cell r="L3474">
            <v>0</v>
          </cell>
        </row>
        <row r="3475">
          <cell r="B3475">
            <v>2024</v>
          </cell>
          <cell r="C3475">
            <v>2</v>
          </cell>
          <cell r="E3475" t="str">
            <v>DET</v>
          </cell>
          <cell r="I3475">
            <v>31</v>
          </cell>
          <cell r="J3475">
            <v>45</v>
          </cell>
          <cell r="L3475">
            <v>1</v>
          </cell>
        </row>
        <row r="3476">
          <cell r="B3476">
            <v>2025</v>
          </cell>
          <cell r="C3476">
            <v>1</v>
          </cell>
          <cell r="E3476" t="str">
            <v>DET</v>
          </cell>
          <cell r="I3476">
            <v>13</v>
          </cell>
          <cell r="J3476">
            <v>27</v>
          </cell>
          <cell r="L3476">
            <v>0</v>
          </cell>
        </row>
        <row r="3477">
          <cell r="B3477">
            <v>2025</v>
          </cell>
          <cell r="C3477">
            <v>2</v>
          </cell>
          <cell r="E3477" t="str">
            <v>DET</v>
          </cell>
          <cell r="I3477">
            <v>52</v>
          </cell>
          <cell r="J3477">
            <v>21</v>
          </cell>
          <cell r="L3477">
            <v>0</v>
          </cell>
        </row>
        <row r="3478">
          <cell r="B3478">
            <v>2025</v>
          </cell>
          <cell r="C3478">
            <v>3</v>
          </cell>
          <cell r="E3478" t="str">
            <v>DET</v>
          </cell>
          <cell r="I3478">
            <v>38</v>
          </cell>
          <cell r="J3478">
            <v>30</v>
          </cell>
          <cell r="L3478">
            <v>0</v>
          </cell>
        </row>
        <row r="3479">
          <cell r="B3479">
            <v>2025</v>
          </cell>
          <cell r="C3479">
            <v>4</v>
          </cell>
          <cell r="E3479" t="str">
            <v>DET</v>
          </cell>
          <cell r="I3479">
            <v>34</v>
          </cell>
          <cell r="J3479">
            <v>10</v>
          </cell>
          <cell r="L3479">
            <v>0</v>
          </cell>
        </row>
        <row r="3480">
          <cell r="B3480">
            <v>2025</v>
          </cell>
          <cell r="C3480">
            <v>5</v>
          </cell>
          <cell r="E3480" t="str">
            <v>DET</v>
          </cell>
          <cell r="I3480">
            <v>37</v>
          </cell>
          <cell r="J3480">
            <v>24</v>
          </cell>
          <cell r="L3480">
            <v>0</v>
          </cell>
        </row>
        <row r="3481">
          <cell r="B3481">
            <v>2025</v>
          </cell>
          <cell r="C3481">
            <v>6</v>
          </cell>
          <cell r="E3481" t="str">
            <v>DET</v>
          </cell>
          <cell r="I3481">
            <v>17</v>
          </cell>
          <cell r="J3481">
            <v>30</v>
          </cell>
          <cell r="L3481">
            <v>0</v>
          </cell>
        </row>
        <row r="3482">
          <cell r="B3482">
            <v>2025</v>
          </cell>
          <cell r="C3482">
            <v>7</v>
          </cell>
          <cell r="E3482" t="str">
            <v>DET</v>
          </cell>
          <cell r="I3482">
            <v>24</v>
          </cell>
          <cell r="J3482">
            <v>9</v>
          </cell>
          <cell r="L3482">
            <v>0</v>
          </cell>
        </row>
        <row r="3483">
          <cell r="B3483">
            <v>2025</v>
          </cell>
          <cell r="C3483">
            <v>9</v>
          </cell>
          <cell r="E3483" t="str">
            <v>DET</v>
          </cell>
          <cell r="I3483">
            <v>24</v>
          </cell>
          <cell r="J3483">
            <v>27</v>
          </cell>
          <cell r="L3483">
            <v>0</v>
          </cell>
        </row>
        <row r="3484">
          <cell r="B3484">
            <v>2025</v>
          </cell>
          <cell r="C3484">
            <v>10</v>
          </cell>
          <cell r="E3484" t="str">
            <v>DET</v>
          </cell>
          <cell r="I3484">
            <v>44</v>
          </cell>
          <cell r="J3484">
            <v>22</v>
          </cell>
          <cell r="L3484">
            <v>0</v>
          </cell>
        </row>
        <row r="3485">
          <cell r="B3485">
            <v>2025</v>
          </cell>
          <cell r="C3485">
            <v>11</v>
          </cell>
          <cell r="E3485" t="str">
            <v>DET</v>
          </cell>
          <cell r="I3485">
            <v>9</v>
          </cell>
          <cell r="J3485">
            <v>16</v>
          </cell>
          <cell r="L3485">
            <v>0</v>
          </cell>
        </row>
        <row r="3486">
          <cell r="B3486">
            <v>2025</v>
          </cell>
          <cell r="C3486">
            <v>12</v>
          </cell>
          <cell r="E3486" t="str">
            <v>DET</v>
          </cell>
          <cell r="I3486">
            <v>34</v>
          </cell>
          <cell r="J3486">
            <v>27</v>
          </cell>
          <cell r="L3486">
            <v>0</v>
          </cell>
        </row>
        <row r="3487">
          <cell r="B3487">
            <v>2025</v>
          </cell>
          <cell r="C3487">
            <v>13</v>
          </cell>
          <cell r="E3487" t="str">
            <v>DET</v>
          </cell>
          <cell r="I3487">
            <v>24</v>
          </cell>
          <cell r="J3487">
            <v>31</v>
          </cell>
          <cell r="L3487">
            <v>0</v>
          </cell>
        </row>
        <row r="3488">
          <cell r="B3488">
            <v>2025</v>
          </cell>
          <cell r="C3488">
            <v>14</v>
          </cell>
          <cell r="E3488" t="str">
            <v>DET</v>
          </cell>
          <cell r="I3488">
            <v>44</v>
          </cell>
          <cell r="J3488">
            <v>30</v>
          </cell>
          <cell r="L3488">
            <v>0</v>
          </cell>
        </row>
        <row r="3489">
          <cell r="B3489">
            <v>2025</v>
          </cell>
          <cell r="C3489">
            <v>15</v>
          </cell>
          <cell r="E3489" t="str">
            <v>DET</v>
          </cell>
          <cell r="I3489">
            <v>34</v>
          </cell>
          <cell r="J3489">
            <v>41</v>
          </cell>
          <cell r="L3489">
            <v>0</v>
          </cell>
        </row>
        <row r="3490">
          <cell r="B3490">
            <v>2025</v>
          </cell>
          <cell r="C3490">
            <v>16</v>
          </cell>
          <cell r="E3490" t="str">
            <v>DET</v>
          </cell>
          <cell r="I3490">
            <v>24</v>
          </cell>
          <cell r="J3490">
            <v>29</v>
          </cell>
          <cell r="L3490">
            <v>0</v>
          </cell>
        </row>
        <row r="3491">
          <cell r="B3491">
            <v>2025</v>
          </cell>
          <cell r="C3491">
            <v>17</v>
          </cell>
          <cell r="E3491" t="str">
            <v>DET</v>
          </cell>
          <cell r="I3491">
            <v>10</v>
          </cell>
          <cell r="J3491">
            <v>23</v>
          </cell>
          <cell r="L3491">
            <v>0</v>
          </cell>
        </row>
        <row r="3492">
          <cell r="B3492">
            <v>2025</v>
          </cell>
          <cell r="C3492">
            <v>18</v>
          </cell>
          <cell r="E3492" t="str">
            <v>DET</v>
          </cell>
          <cell r="I3492">
            <v>19</v>
          </cell>
          <cell r="J3492">
            <v>16</v>
          </cell>
          <cell r="L3492">
            <v>0</v>
          </cell>
        </row>
        <row r="3493">
          <cell r="B3493">
            <v>2026</v>
          </cell>
          <cell r="C3493">
            <v>1</v>
          </cell>
          <cell r="E3493" t="str">
            <v>DET</v>
          </cell>
          <cell r="I3493">
            <v>31</v>
          </cell>
          <cell r="J3493">
            <v>30</v>
          </cell>
          <cell r="L3493">
            <v>0</v>
          </cell>
        </row>
        <row r="3494">
          <cell r="B3494">
            <v>2026</v>
          </cell>
          <cell r="C3494">
            <v>2</v>
          </cell>
          <cell r="E3494" t="str">
            <v>DET</v>
          </cell>
          <cell r="I3494">
            <v>31</v>
          </cell>
          <cell r="J3494">
            <v>41</v>
          </cell>
          <cell r="L3494">
            <v>0</v>
          </cell>
        </row>
        <row r="3495">
          <cell r="B3495">
            <v>2026</v>
          </cell>
          <cell r="C3495">
            <v>3</v>
          </cell>
          <cell r="E3495" t="str">
            <v>DET</v>
          </cell>
          <cell r="I3495">
            <v>31</v>
          </cell>
          <cell r="J3495">
            <v>24</v>
          </cell>
          <cell r="L3495">
            <v>0</v>
          </cell>
        </row>
        <row r="3496">
          <cell r="B3496">
            <v>2026</v>
          </cell>
          <cell r="C3496">
            <v>4</v>
          </cell>
          <cell r="E3496" t="str">
            <v>DET</v>
          </cell>
          <cell r="I3496">
            <v>26</v>
          </cell>
          <cell r="J3496">
            <v>32</v>
          </cell>
          <cell r="L3496">
            <v>0</v>
          </cell>
        </row>
        <row r="3497">
          <cell r="B3497">
            <v>2026</v>
          </cell>
          <cell r="C3497">
            <v>5</v>
          </cell>
          <cell r="E3497" t="str">
            <v>DET</v>
          </cell>
          <cell r="I3497">
            <v>45</v>
          </cell>
          <cell r="J3497">
            <v>21</v>
          </cell>
          <cell r="L3497">
            <v>0</v>
          </cell>
        </row>
        <row r="3498">
          <cell r="B3498">
            <v>2026</v>
          </cell>
          <cell r="C3498">
            <v>7</v>
          </cell>
          <cell r="E3498" t="str">
            <v>DET</v>
          </cell>
          <cell r="L3498">
            <v>0</v>
          </cell>
        </row>
        <row r="3499">
          <cell r="B3499">
            <v>2018</v>
          </cell>
          <cell r="C3499">
            <v>1</v>
          </cell>
          <cell r="E3499" t="str">
            <v>NO</v>
          </cell>
          <cell r="I3499">
            <v>40</v>
          </cell>
          <cell r="J3499">
            <v>48</v>
          </cell>
          <cell r="L3499">
            <v>0</v>
          </cell>
        </row>
        <row r="3500">
          <cell r="B3500">
            <v>2018</v>
          </cell>
          <cell r="C3500">
            <v>2</v>
          </cell>
          <cell r="E3500" t="str">
            <v>NO</v>
          </cell>
          <cell r="I3500">
            <v>21</v>
          </cell>
          <cell r="J3500">
            <v>18</v>
          </cell>
          <cell r="L3500">
            <v>0</v>
          </cell>
        </row>
        <row r="3501">
          <cell r="B3501">
            <v>2018</v>
          </cell>
          <cell r="C3501">
            <v>3</v>
          </cell>
          <cell r="E3501" t="str">
            <v>NO</v>
          </cell>
          <cell r="I3501">
            <v>43</v>
          </cell>
          <cell r="J3501">
            <v>37</v>
          </cell>
          <cell r="L3501">
            <v>0</v>
          </cell>
        </row>
        <row r="3502">
          <cell r="B3502">
            <v>2018</v>
          </cell>
          <cell r="C3502">
            <v>4</v>
          </cell>
          <cell r="E3502" t="str">
            <v>NO</v>
          </cell>
          <cell r="I3502">
            <v>33</v>
          </cell>
          <cell r="J3502">
            <v>18</v>
          </cell>
          <cell r="L3502">
            <v>0</v>
          </cell>
        </row>
        <row r="3503">
          <cell r="B3503">
            <v>2018</v>
          </cell>
          <cell r="C3503">
            <v>5</v>
          </cell>
          <cell r="E3503" t="str">
            <v>NO</v>
          </cell>
          <cell r="I3503">
            <v>43</v>
          </cell>
          <cell r="J3503">
            <v>19</v>
          </cell>
          <cell r="L3503">
            <v>0</v>
          </cell>
        </row>
        <row r="3504">
          <cell r="B3504">
            <v>2018</v>
          </cell>
          <cell r="C3504">
            <v>7</v>
          </cell>
          <cell r="E3504" t="str">
            <v>NO</v>
          </cell>
          <cell r="I3504">
            <v>24</v>
          </cell>
          <cell r="J3504">
            <v>23</v>
          </cell>
          <cell r="L3504">
            <v>0</v>
          </cell>
        </row>
        <row r="3505">
          <cell r="B3505">
            <v>2018</v>
          </cell>
          <cell r="C3505">
            <v>8</v>
          </cell>
          <cell r="E3505" t="str">
            <v>NO</v>
          </cell>
          <cell r="I3505">
            <v>30</v>
          </cell>
          <cell r="J3505">
            <v>20</v>
          </cell>
          <cell r="L3505">
            <v>0</v>
          </cell>
        </row>
        <row r="3506">
          <cell r="B3506">
            <v>2018</v>
          </cell>
          <cell r="C3506">
            <v>9</v>
          </cell>
          <cell r="E3506" t="str">
            <v>NO</v>
          </cell>
          <cell r="I3506">
            <v>45</v>
          </cell>
          <cell r="J3506">
            <v>35</v>
          </cell>
          <cell r="L3506">
            <v>0</v>
          </cell>
        </row>
        <row r="3507">
          <cell r="B3507">
            <v>2018</v>
          </cell>
          <cell r="C3507">
            <v>10</v>
          </cell>
          <cell r="E3507" t="str">
            <v>NO</v>
          </cell>
          <cell r="I3507">
            <v>51</v>
          </cell>
          <cell r="J3507">
            <v>14</v>
          </cell>
          <cell r="L3507">
            <v>0</v>
          </cell>
        </row>
        <row r="3508">
          <cell r="B3508">
            <v>2018</v>
          </cell>
          <cell r="C3508">
            <v>11</v>
          </cell>
          <cell r="E3508" t="str">
            <v>NO</v>
          </cell>
          <cell r="I3508">
            <v>48</v>
          </cell>
          <cell r="J3508">
            <v>7</v>
          </cell>
          <cell r="L3508">
            <v>0</v>
          </cell>
        </row>
        <row r="3509">
          <cell r="B3509">
            <v>2018</v>
          </cell>
          <cell r="C3509">
            <v>12</v>
          </cell>
          <cell r="E3509" t="str">
            <v>NO</v>
          </cell>
          <cell r="I3509">
            <v>31</v>
          </cell>
          <cell r="J3509">
            <v>17</v>
          </cell>
          <cell r="L3509">
            <v>0</v>
          </cell>
        </row>
        <row r="3510">
          <cell r="B3510">
            <v>2018</v>
          </cell>
          <cell r="C3510">
            <v>13</v>
          </cell>
          <cell r="E3510" t="str">
            <v>NO</v>
          </cell>
          <cell r="I3510">
            <v>10</v>
          </cell>
          <cell r="J3510">
            <v>13</v>
          </cell>
          <cell r="L3510">
            <v>0</v>
          </cell>
        </row>
        <row r="3511">
          <cell r="B3511">
            <v>2018</v>
          </cell>
          <cell r="C3511">
            <v>14</v>
          </cell>
          <cell r="E3511" t="str">
            <v>NO</v>
          </cell>
          <cell r="I3511">
            <v>28</v>
          </cell>
          <cell r="J3511">
            <v>14</v>
          </cell>
          <cell r="L3511">
            <v>0</v>
          </cell>
        </row>
        <row r="3512">
          <cell r="B3512">
            <v>2018</v>
          </cell>
          <cell r="C3512">
            <v>15</v>
          </cell>
          <cell r="E3512" t="str">
            <v>NO</v>
          </cell>
          <cell r="I3512">
            <v>12</v>
          </cell>
          <cell r="J3512">
            <v>9</v>
          </cell>
          <cell r="L3512">
            <v>0</v>
          </cell>
        </row>
        <row r="3513">
          <cell r="B3513">
            <v>2018</v>
          </cell>
          <cell r="C3513">
            <v>16</v>
          </cell>
          <cell r="E3513" t="str">
            <v>NO</v>
          </cell>
          <cell r="I3513">
            <v>31</v>
          </cell>
          <cell r="J3513">
            <v>28</v>
          </cell>
          <cell r="L3513">
            <v>0</v>
          </cell>
        </row>
        <row r="3514">
          <cell r="B3514">
            <v>2018</v>
          </cell>
          <cell r="C3514">
            <v>17</v>
          </cell>
          <cell r="E3514" t="str">
            <v>NO</v>
          </cell>
          <cell r="I3514">
            <v>14</v>
          </cell>
          <cell r="J3514">
            <v>33</v>
          </cell>
          <cell r="L3514">
            <v>0</v>
          </cell>
        </row>
        <row r="3515">
          <cell r="B3515">
            <v>2018</v>
          </cell>
          <cell r="C3515">
            <v>2</v>
          </cell>
          <cell r="E3515" t="str">
            <v>NO</v>
          </cell>
          <cell r="I3515">
            <v>20</v>
          </cell>
          <cell r="J3515">
            <v>14</v>
          </cell>
          <cell r="L3515">
            <v>1</v>
          </cell>
        </row>
        <row r="3516">
          <cell r="B3516">
            <v>2018</v>
          </cell>
          <cell r="C3516">
            <v>3</v>
          </cell>
          <cell r="E3516" t="str">
            <v>NO</v>
          </cell>
          <cell r="I3516">
            <v>23</v>
          </cell>
          <cell r="J3516">
            <v>26</v>
          </cell>
          <cell r="L3516">
            <v>1</v>
          </cell>
        </row>
        <row r="3517">
          <cell r="B3517">
            <v>2019</v>
          </cell>
          <cell r="C3517">
            <v>1</v>
          </cell>
          <cell r="E3517" t="str">
            <v>NO</v>
          </cell>
          <cell r="I3517">
            <v>30</v>
          </cell>
          <cell r="J3517">
            <v>28</v>
          </cell>
          <cell r="L3517">
            <v>0</v>
          </cell>
        </row>
        <row r="3518">
          <cell r="B3518">
            <v>2019</v>
          </cell>
          <cell r="C3518">
            <v>2</v>
          </cell>
          <cell r="E3518" t="str">
            <v>NO</v>
          </cell>
          <cell r="I3518">
            <v>9</v>
          </cell>
          <cell r="J3518">
            <v>27</v>
          </cell>
          <cell r="L3518">
            <v>0</v>
          </cell>
        </row>
        <row r="3519">
          <cell r="B3519">
            <v>2019</v>
          </cell>
          <cell r="C3519">
            <v>3</v>
          </cell>
          <cell r="E3519" t="str">
            <v>NO</v>
          </cell>
          <cell r="I3519">
            <v>33</v>
          </cell>
          <cell r="J3519">
            <v>27</v>
          </cell>
          <cell r="L3519">
            <v>0</v>
          </cell>
        </row>
        <row r="3520">
          <cell r="B3520">
            <v>2019</v>
          </cell>
          <cell r="C3520">
            <v>4</v>
          </cell>
          <cell r="E3520" t="str">
            <v>NO</v>
          </cell>
          <cell r="I3520">
            <v>12</v>
          </cell>
          <cell r="J3520">
            <v>10</v>
          </cell>
          <cell r="L3520">
            <v>0</v>
          </cell>
        </row>
        <row r="3521">
          <cell r="B3521">
            <v>2019</v>
          </cell>
          <cell r="C3521">
            <v>5</v>
          </cell>
          <cell r="E3521" t="str">
            <v>NO</v>
          </cell>
          <cell r="I3521">
            <v>31</v>
          </cell>
          <cell r="J3521">
            <v>24</v>
          </cell>
          <cell r="L3521">
            <v>0</v>
          </cell>
        </row>
        <row r="3522">
          <cell r="B3522">
            <v>2019</v>
          </cell>
          <cell r="C3522">
            <v>6</v>
          </cell>
          <cell r="E3522" t="str">
            <v>NO</v>
          </cell>
          <cell r="I3522">
            <v>13</v>
          </cell>
          <cell r="J3522">
            <v>6</v>
          </cell>
          <cell r="L3522">
            <v>0</v>
          </cell>
        </row>
        <row r="3523">
          <cell r="B3523">
            <v>2019</v>
          </cell>
          <cell r="C3523">
            <v>7</v>
          </cell>
          <cell r="E3523" t="str">
            <v>NO</v>
          </cell>
          <cell r="I3523">
            <v>36</v>
          </cell>
          <cell r="J3523">
            <v>25</v>
          </cell>
          <cell r="L3523">
            <v>0</v>
          </cell>
        </row>
        <row r="3524">
          <cell r="B3524">
            <v>2019</v>
          </cell>
          <cell r="C3524">
            <v>8</v>
          </cell>
          <cell r="E3524" t="str">
            <v>NO</v>
          </cell>
          <cell r="I3524">
            <v>31</v>
          </cell>
          <cell r="J3524">
            <v>9</v>
          </cell>
          <cell r="L3524">
            <v>0</v>
          </cell>
        </row>
        <row r="3525">
          <cell r="B3525">
            <v>2019</v>
          </cell>
          <cell r="C3525">
            <v>10</v>
          </cell>
          <cell r="E3525" t="str">
            <v>NO</v>
          </cell>
          <cell r="I3525">
            <v>9</v>
          </cell>
          <cell r="J3525">
            <v>26</v>
          </cell>
          <cell r="L3525">
            <v>0</v>
          </cell>
        </row>
        <row r="3526">
          <cell r="B3526">
            <v>2019</v>
          </cell>
          <cell r="C3526">
            <v>11</v>
          </cell>
          <cell r="E3526" t="str">
            <v>NO</v>
          </cell>
          <cell r="I3526">
            <v>34</v>
          </cell>
          <cell r="J3526">
            <v>17</v>
          </cell>
          <cell r="L3526">
            <v>0</v>
          </cell>
        </row>
        <row r="3527">
          <cell r="B3527">
            <v>2019</v>
          </cell>
          <cell r="C3527">
            <v>12</v>
          </cell>
          <cell r="E3527" t="str">
            <v>NO</v>
          </cell>
          <cell r="I3527">
            <v>34</v>
          </cell>
          <cell r="J3527">
            <v>31</v>
          </cell>
          <cell r="L3527">
            <v>0</v>
          </cell>
        </row>
        <row r="3528">
          <cell r="B3528">
            <v>2019</v>
          </cell>
          <cell r="C3528">
            <v>13</v>
          </cell>
          <cell r="E3528" t="str">
            <v>NO</v>
          </cell>
          <cell r="I3528">
            <v>26</v>
          </cell>
          <cell r="J3528">
            <v>18</v>
          </cell>
          <cell r="L3528">
            <v>0</v>
          </cell>
        </row>
        <row r="3529">
          <cell r="B3529">
            <v>2019</v>
          </cell>
          <cell r="C3529">
            <v>14</v>
          </cell>
          <cell r="E3529" t="str">
            <v>NO</v>
          </cell>
          <cell r="I3529">
            <v>46</v>
          </cell>
          <cell r="J3529">
            <v>48</v>
          </cell>
          <cell r="L3529">
            <v>0</v>
          </cell>
        </row>
        <row r="3530">
          <cell r="B3530">
            <v>2019</v>
          </cell>
          <cell r="C3530">
            <v>15</v>
          </cell>
          <cell r="E3530" t="str">
            <v>NO</v>
          </cell>
          <cell r="I3530">
            <v>34</v>
          </cell>
          <cell r="J3530">
            <v>7</v>
          </cell>
          <cell r="L3530">
            <v>0</v>
          </cell>
        </row>
        <row r="3531">
          <cell r="B3531">
            <v>2019</v>
          </cell>
          <cell r="C3531">
            <v>16</v>
          </cell>
          <cell r="E3531" t="str">
            <v>NO</v>
          </cell>
          <cell r="I3531">
            <v>38</v>
          </cell>
          <cell r="J3531">
            <v>28</v>
          </cell>
          <cell r="L3531">
            <v>0</v>
          </cell>
        </row>
        <row r="3532">
          <cell r="B3532">
            <v>2019</v>
          </cell>
          <cell r="C3532">
            <v>17</v>
          </cell>
          <cell r="E3532" t="str">
            <v>NO</v>
          </cell>
          <cell r="I3532">
            <v>42</v>
          </cell>
          <cell r="J3532">
            <v>10</v>
          </cell>
          <cell r="L3532">
            <v>0</v>
          </cell>
        </row>
        <row r="3533">
          <cell r="B3533">
            <v>2019</v>
          </cell>
          <cell r="C3533">
            <v>1</v>
          </cell>
          <cell r="E3533" t="str">
            <v>NO</v>
          </cell>
          <cell r="I3533">
            <v>20</v>
          </cell>
          <cell r="J3533">
            <v>26</v>
          </cell>
          <cell r="L3533">
            <v>1</v>
          </cell>
        </row>
        <row r="3534">
          <cell r="B3534">
            <v>2020</v>
          </cell>
          <cell r="C3534">
            <v>1</v>
          </cell>
          <cell r="E3534" t="str">
            <v>NO</v>
          </cell>
          <cell r="I3534">
            <v>34</v>
          </cell>
          <cell r="J3534">
            <v>23</v>
          </cell>
          <cell r="L3534">
            <v>0</v>
          </cell>
        </row>
        <row r="3535">
          <cell r="B3535">
            <v>2020</v>
          </cell>
          <cell r="C3535">
            <v>2</v>
          </cell>
          <cell r="E3535" t="str">
            <v>NO</v>
          </cell>
          <cell r="I3535">
            <v>24</v>
          </cell>
          <cell r="J3535">
            <v>34</v>
          </cell>
          <cell r="L3535">
            <v>0</v>
          </cell>
        </row>
        <row r="3536">
          <cell r="B3536">
            <v>2020</v>
          </cell>
          <cell r="C3536">
            <v>3</v>
          </cell>
          <cell r="E3536" t="str">
            <v>NO</v>
          </cell>
          <cell r="I3536">
            <v>30</v>
          </cell>
          <cell r="J3536">
            <v>37</v>
          </cell>
          <cell r="L3536">
            <v>0</v>
          </cell>
        </row>
        <row r="3537">
          <cell r="B3537">
            <v>2020</v>
          </cell>
          <cell r="C3537">
            <v>4</v>
          </cell>
          <cell r="E3537" t="str">
            <v>NO</v>
          </cell>
          <cell r="I3537">
            <v>35</v>
          </cell>
          <cell r="J3537">
            <v>29</v>
          </cell>
          <cell r="L3537">
            <v>0</v>
          </cell>
        </row>
        <row r="3538">
          <cell r="B3538">
            <v>2020</v>
          </cell>
          <cell r="C3538">
            <v>5</v>
          </cell>
          <cell r="E3538" t="str">
            <v>NO</v>
          </cell>
          <cell r="I3538">
            <v>30</v>
          </cell>
          <cell r="J3538">
            <v>27</v>
          </cell>
          <cell r="L3538">
            <v>0</v>
          </cell>
        </row>
        <row r="3539">
          <cell r="B3539">
            <v>2020</v>
          </cell>
          <cell r="C3539">
            <v>7</v>
          </cell>
          <cell r="E3539" t="str">
            <v>NO</v>
          </cell>
          <cell r="I3539">
            <v>27</v>
          </cell>
          <cell r="J3539">
            <v>24</v>
          </cell>
          <cell r="L3539">
            <v>0</v>
          </cell>
        </row>
        <row r="3540">
          <cell r="B3540">
            <v>2020</v>
          </cell>
          <cell r="C3540">
            <v>8</v>
          </cell>
          <cell r="E3540" t="str">
            <v>NO</v>
          </cell>
          <cell r="I3540">
            <v>26</v>
          </cell>
          <cell r="J3540">
            <v>23</v>
          </cell>
          <cell r="L3540">
            <v>0</v>
          </cell>
        </row>
        <row r="3541">
          <cell r="B3541">
            <v>2020</v>
          </cell>
          <cell r="C3541">
            <v>9</v>
          </cell>
          <cell r="E3541" t="str">
            <v>NO</v>
          </cell>
          <cell r="I3541">
            <v>38</v>
          </cell>
          <cell r="J3541">
            <v>3</v>
          </cell>
          <cell r="L3541">
            <v>0</v>
          </cell>
        </row>
        <row r="3542">
          <cell r="B3542">
            <v>2020</v>
          </cell>
          <cell r="C3542">
            <v>10</v>
          </cell>
          <cell r="E3542" t="str">
            <v>NO</v>
          </cell>
          <cell r="I3542">
            <v>27</v>
          </cell>
          <cell r="J3542">
            <v>13</v>
          </cell>
          <cell r="L3542">
            <v>0</v>
          </cell>
        </row>
        <row r="3543">
          <cell r="B3543">
            <v>2020</v>
          </cell>
          <cell r="C3543">
            <v>11</v>
          </cell>
          <cell r="E3543" t="str">
            <v>NO</v>
          </cell>
          <cell r="I3543">
            <v>24</v>
          </cell>
          <cell r="J3543">
            <v>9</v>
          </cell>
          <cell r="L3543">
            <v>0</v>
          </cell>
        </row>
        <row r="3544">
          <cell r="B3544">
            <v>2020</v>
          </cell>
          <cell r="C3544">
            <v>12</v>
          </cell>
          <cell r="E3544" t="str">
            <v>NO</v>
          </cell>
          <cell r="I3544">
            <v>31</v>
          </cell>
          <cell r="J3544">
            <v>3</v>
          </cell>
          <cell r="L3544">
            <v>0</v>
          </cell>
        </row>
        <row r="3545">
          <cell r="B3545">
            <v>2020</v>
          </cell>
          <cell r="C3545">
            <v>13</v>
          </cell>
          <cell r="E3545" t="str">
            <v>NO</v>
          </cell>
          <cell r="I3545">
            <v>21</v>
          </cell>
          <cell r="J3545">
            <v>16</v>
          </cell>
          <cell r="L3545">
            <v>0</v>
          </cell>
        </row>
        <row r="3546">
          <cell r="B3546">
            <v>2020</v>
          </cell>
          <cell r="C3546">
            <v>14</v>
          </cell>
          <cell r="E3546" t="str">
            <v>NO</v>
          </cell>
          <cell r="I3546">
            <v>21</v>
          </cell>
          <cell r="J3546">
            <v>24</v>
          </cell>
          <cell r="L3546">
            <v>0</v>
          </cell>
        </row>
        <row r="3547">
          <cell r="B3547">
            <v>2020</v>
          </cell>
          <cell r="C3547">
            <v>15</v>
          </cell>
          <cell r="E3547" t="str">
            <v>NO</v>
          </cell>
          <cell r="I3547">
            <v>29</v>
          </cell>
          <cell r="J3547">
            <v>32</v>
          </cell>
          <cell r="L3547">
            <v>0</v>
          </cell>
        </row>
        <row r="3548">
          <cell r="B3548">
            <v>2020</v>
          </cell>
          <cell r="C3548">
            <v>16</v>
          </cell>
          <cell r="E3548" t="str">
            <v>NO</v>
          </cell>
          <cell r="I3548">
            <v>52</v>
          </cell>
          <cell r="J3548">
            <v>33</v>
          </cell>
          <cell r="L3548">
            <v>0</v>
          </cell>
        </row>
        <row r="3549">
          <cell r="B3549">
            <v>2020</v>
          </cell>
          <cell r="C3549">
            <v>17</v>
          </cell>
          <cell r="E3549" t="str">
            <v>NO</v>
          </cell>
          <cell r="I3549">
            <v>33</v>
          </cell>
          <cell r="J3549">
            <v>7</v>
          </cell>
          <cell r="L3549">
            <v>0</v>
          </cell>
        </row>
        <row r="3550">
          <cell r="B3550">
            <v>2020</v>
          </cell>
          <cell r="C3550">
            <v>1</v>
          </cell>
          <cell r="E3550" t="str">
            <v>NO</v>
          </cell>
          <cell r="I3550">
            <v>21</v>
          </cell>
          <cell r="J3550">
            <v>9</v>
          </cell>
          <cell r="L3550">
            <v>1</v>
          </cell>
        </row>
        <row r="3551">
          <cell r="B3551">
            <v>2020</v>
          </cell>
          <cell r="C3551">
            <v>2</v>
          </cell>
          <cell r="E3551" t="str">
            <v>NO</v>
          </cell>
          <cell r="I3551">
            <v>20</v>
          </cell>
          <cell r="J3551">
            <v>30</v>
          </cell>
          <cell r="L3551">
            <v>1</v>
          </cell>
        </row>
        <row r="3552">
          <cell r="B3552">
            <v>2021</v>
          </cell>
          <cell r="C3552">
            <v>1</v>
          </cell>
          <cell r="E3552" t="str">
            <v>NO</v>
          </cell>
          <cell r="I3552">
            <v>38</v>
          </cell>
          <cell r="J3552">
            <v>3</v>
          </cell>
          <cell r="L3552">
            <v>0</v>
          </cell>
        </row>
        <row r="3553">
          <cell r="B3553">
            <v>2021</v>
          </cell>
          <cell r="C3553">
            <v>2</v>
          </cell>
          <cell r="E3553" t="str">
            <v>NO</v>
          </cell>
          <cell r="I3553">
            <v>7</v>
          </cell>
          <cell r="J3553">
            <v>26</v>
          </cell>
          <cell r="L3553">
            <v>0</v>
          </cell>
        </row>
        <row r="3554">
          <cell r="B3554">
            <v>2021</v>
          </cell>
          <cell r="C3554">
            <v>3</v>
          </cell>
          <cell r="E3554" t="str">
            <v>NO</v>
          </cell>
          <cell r="I3554">
            <v>28</v>
          </cell>
          <cell r="J3554">
            <v>13</v>
          </cell>
          <cell r="L3554">
            <v>0</v>
          </cell>
        </row>
        <row r="3555">
          <cell r="B3555">
            <v>2021</v>
          </cell>
          <cell r="C3555">
            <v>4</v>
          </cell>
          <cell r="E3555" t="str">
            <v>NO</v>
          </cell>
          <cell r="I3555">
            <v>21</v>
          </cell>
          <cell r="J3555">
            <v>27</v>
          </cell>
          <cell r="L3555">
            <v>0</v>
          </cell>
        </row>
        <row r="3556">
          <cell r="B3556">
            <v>2021</v>
          </cell>
          <cell r="C3556">
            <v>5</v>
          </cell>
          <cell r="E3556" t="str">
            <v>NO</v>
          </cell>
          <cell r="I3556">
            <v>33</v>
          </cell>
          <cell r="J3556">
            <v>22</v>
          </cell>
          <cell r="L3556">
            <v>0</v>
          </cell>
        </row>
        <row r="3557">
          <cell r="B3557">
            <v>2021</v>
          </cell>
          <cell r="C3557">
            <v>7</v>
          </cell>
          <cell r="E3557" t="str">
            <v>NO</v>
          </cell>
          <cell r="I3557">
            <v>13</v>
          </cell>
          <cell r="J3557">
            <v>10</v>
          </cell>
          <cell r="L3557">
            <v>0</v>
          </cell>
        </row>
        <row r="3558">
          <cell r="B3558">
            <v>2021</v>
          </cell>
          <cell r="C3558">
            <v>8</v>
          </cell>
          <cell r="E3558" t="str">
            <v>NO</v>
          </cell>
          <cell r="I3558">
            <v>36</v>
          </cell>
          <cell r="J3558">
            <v>27</v>
          </cell>
          <cell r="L3558">
            <v>0</v>
          </cell>
        </row>
        <row r="3559">
          <cell r="B3559">
            <v>2021</v>
          </cell>
          <cell r="C3559">
            <v>9</v>
          </cell>
          <cell r="E3559" t="str">
            <v>NO</v>
          </cell>
          <cell r="I3559">
            <v>25</v>
          </cell>
          <cell r="J3559">
            <v>27</v>
          </cell>
          <cell r="L3559">
            <v>0</v>
          </cell>
        </row>
        <row r="3560">
          <cell r="B3560">
            <v>2021</v>
          </cell>
          <cell r="C3560">
            <v>10</v>
          </cell>
          <cell r="E3560" t="str">
            <v>NO</v>
          </cell>
          <cell r="I3560">
            <v>21</v>
          </cell>
          <cell r="J3560">
            <v>23</v>
          </cell>
          <cell r="L3560">
            <v>0</v>
          </cell>
        </row>
        <row r="3561">
          <cell r="B3561">
            <v>2021</v>
          </cell>
          <cell r="C3561">
            <v>11</v>
          </cell>
          <cell r="E3561" t="str">
            <v>NO</v>
          </cell>
          <cell r="I3561">
            <v>29</v>
          </cell>
          <cell r="J3561">
            <v>40</v>
          </cell>
          <cell r="L3561">
            <v>0</v>
          </cell>
        </row>
        <row r="3562">
          <cell r="B3562">
            <v>2021</v>
          </cell>
          <cell r="C3562">
            <v>12</v>
          </cell>
          <cell r="E3562" t="str">
            <v>NO</v>
          </cell>
          <cell r="I3562">
            <v>6</v>
          </cell>
          <cell r="J3562">
            <v>31</v>
          </cell>
          <cell r="L3562">
            <v>0</v>
          </cell>
        </row>
        <row r="3563">
          <cell r="B3563">
            <v>2021</v>
          </cell>
          <cell r="C3563">
            <v>13</v>
          </cell>
          <cell r="E3563" t="str">
            <v>NO</v>
          </cell>
          <cell r="I3563">
            <v>17</v>
          </cell>
          <cell r="J3563">
            <v>27</v>
          </cell>
          <cell r="L3563">
            <v>0</v>
          </cell>
        </row>
        <row r="3564">
          <cell r="B3564">
            <v>2021</v>
          </cell>
          <cell r="C3564">
            <v>14</v>
          </cell>
          <cell r="E3564" t="str">
            <v>NO</v>
          </cell>
          <cell r="I3564">
            <v>30</v>
          </cell>
          <cell r="J3564">
            <v>9</v>
          </cell>
          <cell r="L3564">
            <v>0</v>
          </cell>
        </row>
        <row r="3565">
          <cell r="B3565">
            <v>2021</v>
          </cell>
          <cell r="C3565">
            <v>15</v>
          </cell>
          <cell r="E3565" t="str">
            <v>NO</v>
          </cell>
          <cell r="I3565">
            <v>9</v>
          </cell>
          <cell r="J3565">
            <v>0</v>
          </cell>
          <cell r="L3565">
            <v>0</v>
          </cell>
        </row>
        <row r="3566">
          <cell r="B3566">
            <v>2021</v>
          </cell>
          <cell r="C3566">
            <v>16</v>
          </cell>
          <cell r="E3566" t="str">
            <v>NO</v>
          </cell>
          <cell r="I3566">
            <v>3</v>
          </cell>
          <cell r="J3566">
            <v>20</v>
          </cell>
          <cell r="L3566">
            <v>0</v>
          </cell>
        </row>
        <row r="3567">
          <cell r="B3567">
            <v>2021</v>
          </cell>
          <cell r="C3567">
            <v>17</v>
          </cell>
          <cell r="E3567" t="str">
            <v>NO</v>
          </cell>
          <cell r="I3567">
            <v>18</v>
          </cell>
          <cell r="J3567">
            <v>10</v>
          </cell>
          <cell r="L3567">
            <v>0</v>
          </cell>
        </row>
        <row r="3568">
          <cell r="B3568">
            <v>2021</v>
          </cell>
          <cell r="C3568">
            <v>18</v>
          </cell>
          <cell r="E3568" t="str">
            <v>NO</v>
          </cell>
          <cell r="I3568">
            <v>30</v>
          </cell>
          <cell r="J3568">
            <v>20</v>
          </cell>
          <cell r="L3568">
            <v>0</v>
          </cell>
        </row>
        <row r="3569">
          <cell r="B3569">
            <v>2022</v>
          </cell>
          <cell r="C3569">
            <v>1</v>
          </cell>
          <cell r="E3569" t="str">
            <v>NO</v>
          </cell>
          <cell r="I3569">
            <v>27</v>
          </cell>
          <cell r="J3569">
            <v>26</v>
          </cell>
          <cell r="L3569">
            <v>0</v>
          </cell>
        </row>
        <row r="3570">
          <cell r="B3570">
            <v>2022</v>
          </cell>
          <cell r="C3570">
            <v>2</v>
          </cell>
          <cell r="E3570" t="str">
            <v>NO</v>
          </cell>
          <cell r="I3570">
            <v>10</v>
          </cell>
          <cell r="J3570">
            <v>20</v>
          </cell>
          <cell r="L3570">
            <v>0</v>
          </cell>
        </row>
        <row r="3571">
          <cell r="B3571">
            <v>2022</v>
          </cell>
          <cell r="C3571">
            <v>3</v>
          </cell>
          <cell r="E3571" t="str">
            <v>NO</v>
          </cell>
          <cell r="I3571">
            <v>14</v>
          </cell>
          <cell r="J3571">
            <v>22</v>
          </cell>
          <cell r="L3571">
            <v>0</v>
          </cell>
        </row>
        <row r="3572">
          <cell r="B3572">
            <v>2022</v>
          </cell>
          <cell r="C3572">
            <v>4</v>
          </cell>
          <cell r="E3572" t="str">
            <v>NO</v>
          </cell>
          <cell r="I3572">
            <v>25</v>
          </cell>
          <cell r="J3572">
            <v>28</v>
          </cell>
          <cell r="L3572">
            <v>0</v>
          </cell>
        </row>
        <row r="3573">
          <cell r="B3573">
            <v>2022</v>
          </cell>
          <cell r="C3573">
            <v>5</v>
          </cell>
          <cell r="E3573" t="str">
            <v>NO</v>
          </cell>
          <cell r="I3573">
            <v>39</v>
          </cell>
          <cell r="J3573">
            <v>32</v>
          </cell>
          <cell r="L3573">
            <v>0</v>
          </cell>
        </row>
        <row r="3574">
          <cell r="B3574">
            <v>2022</v>
          </cell>
          <cell r="C3574">
            <v>6</v>
          </cell>
          <cell r="E3574" t="str">
            <v>NO</v>
          </cell>
          <cell r="I3574">
            <v>26</v>
          </cell>
          <cell r="J3574">
            <v>30</v>
          </cell>
          <cell r="L3574">
            <v>0</v>
          </cell>
        </row>
        <row r="3575">
          <cell r="B3575">
            <v>2022</v>
          </cell>
          <cell r="C3575">
            <v>7</v>
          </cell>
          <cell r="E3575" t="str">
            <v>NO</v>
          </cell>
          <cell r="I3575">
            <v>34</v>
          </cell>
          <cell r="J3575">
            <v>42</v>
          </cell>
          <cell r="L3575">
            <v>0</v>
          </cell>
        </row>
        <row r="3576">
          <cell r="B3576">
            <v>2022</v>
          </cell>
          <cell r="C3576">
            <v>8</v>
          </cell>
          <cell r="E3576" t="str">
            <v>NO</v>
          </cell>
          <cell r="I3576">
            <v>24</v>
          </cell>
          <cell r="J3576">
            <v>0</v>
          </cell>
          <cell r="L3576">
            <v>0</v>
          </cell>
        </row>
        <row r="3577">
          <cell r="B3577">
            <v>2022</v>
          </cell>
          <cell r="C3577">
            <v>9</v>
          </cell>
          <cell r="E3577" t="str">
            <v>NO</v>
          </cell>
          <cell r="I3577">
            <v>13</v>
          </cell>
          <cell r="J3577">
            <v>27</v>
          </cell>
          <cell r="L3577">
            <v>0</v>
          </cell>
        </row>
        <row r="3578">
          <cell r="B3578">
            <v>2022</v>
          </cell>
          <cell r="C3578">
            <v>10</v>
          </cell>
          <cell r="E3578" t="str">
            <v>NO</v>
          </cell>
          <cell r="I3578">
            <v>10</v>
          </cell>
          <cell r="J3578">
            <v>20</v>
          </cell>
          <cell r="L3578">
            <v>0</v>
          </cell>
        </row>
        <row r="3579">
          <cell r="B3579">
            <v>2022</v>
          </cell>
          <cell r="C3579">
            <v>11</v>
          </cell>
          <cell r="E3579" t="str">
            <v>NO</v>
          </cell>
          <cell r="I3579">
            <v>27</v>
          </cell>
          <cell r="J3579">
            <v>20</v>
          </cell>
          <cell r="L3579">
            <v>0</v>
          </cell>
        </row>
        <row r="3580">
          <cell r="B3580">
            <v>2022</v>
          </cell>
          <cell r="C3580">
            <v>12</v>
          </cell>
          <cell r="E3580" t="str">
            <v>NO</v>
          </cell>
          <cell r="I3580">
            <v>0</v>
          </cell>
          <cell r="J3580">
            <v>13</v>
          </cell>
          <cell r="L3580">
            <v>0</v>
          </cell>
        </row>
        <row r="3581">
          <cell r="B3581">
            <v>2022</v>
          </cell>
          <cell r="C3581">
            <v>13</v>
          </cell>
          <cell r="E3581" t="str">
            <v>NO</v>
          </cell>
          <cell r="I3581">
            <v>16</v>
          </cell>
          <cell r="J3581">
            <v>17</v>
          </cell>
          <cell r="L3581">
            <v>0</v>
          </cell>
        </row>
        <row r="3582">
          <cell r="B3582">
            <v>2022</v>
          </cell>
          <cell r="C3582">
            <v>15</v>
          </cell>
          <cell r="E3582" t="str">
            <v>NO</v>
          </cell>
          <cell r="I3582">
            <v>21</v>
          </cell>
          <cell r="J3582">
            <v>18</v>
          </cell>
          <cell r="L3582">
            <v>0</v>
          </cell>
        </row>
        <row r="3583">
          <cell r="B3583">
            <v>2022</v>
          </cell>
          <cell r="C3583">
            <v>16</v>
          </cell>
          <cell r="E3583" t="str">
            <v>NO</v>
          </cell>
          <cell r="I3583">
            <v>17</v>
          </cell>
          <cell r="J3583">
            <v>10</v>
          </cell>
          <cell r="L3583">
            <v>0</v>
          </cell>
        </row>
        <row r="3584">
          <cell r="B3584">
            <v>2022</v>
          </cell>
          <cell r="C3584">
            <v>17</v>
          </cell>
          <cell r="E3584" t="str">
            <v>NO</v>
          </cell>
          <cell r="I3584">
            <v>20</v>
          </cell>
          <cell r="J3584">
            <v>10</v>
          </cell>
          <cell r="L3584">
            <v>0</v>
          </cell>
        </row>
        <row r="3585">
          <cell r="B3585">
            <v>2022</v>
          </cell>
          <cell r="C3585">
            <v>18</v>
          </cell>
          <cell r="E3585" t="str">
            <v>NO</v>
          </cell>
          <cell r="I3585">
            <v>7</v>
          </cell>
          <cell r="J3585">
            <v>10</v>
          </cell>
          <cell r="L3585">
            <v>0</v>
          </cell>
        </row>
        <row r="3586">
          <cell r="B3586">
            <v>2023</v>
          </cell>
          <cell r="C3586">
            <v>1</v>
          </cell>
          <cell r="E3586" t="str">
            <v>NO</v>
          </cell>
          <cell r="I3586">
            <v>16</v>
          </cell>
          <cell r="J3586">
            <v>15</v>
          </cell>
          <cell r="L3586">
            <v>0</v>
          </cell>
        </row>
        <row r="3587">
          <cell r="B3587">
            <v>2023</v>
          </cell>
          <cell r="C3587">
            <v>2</v>
          </cell>
          <cell r="E3587" t="str">
            <v>NO</v>
          </cell>
          <cell r="I3587">
            <v>20</v>
          </cell>
          <cell r="J3587">
            <v>17</v>
          </cell>
          <cell r="L3587">
            <v>0</v>
          </cell>
        </row>
        <row r="3588">
          <cell r="B3588">
            <v>2023</v>
          </cell>
          <cell r="C3588">
            <v>3</v>
          </cell>
          <cell r="E3588" t="str">
            <v>NO</v>
          </cell>
          <cell r="I3588">
            <v>17</v>
          </cell>
          <cell r="J3588">
            <v>18</v>
          </cell>
          <cell r="L3588">
            <v>0</v>
          </cell>
        </row>
        <row r="3589">
          <cell r="B3589">
            <v>2023</v>
          </cell>
          <cell r="C3589">
            <v>4</v>
          </cell>
          <cell r="E3589" t="str">
            <v>NO</v>
          </cell>
          <cell r="I3589">
            <v>9</v>
          </cell>
          <cell r="J3589">
            <v>26</v>
          </cell>
          <cell r="L3589">
            <v>0</v>
          </cell>
        </row>
        <row r="3590">
          <cell r="B3590">
            <v>2023</v>
          </cell>
          <cell r="C3590">
            <v>5</v>
          </cell>
          <cell r="E3590" t="str">
            <v>NO</v>
          </cell>
          <cell r="I3590">
            <v>34</v>
          </cell>
          <cell r="J3590">
            <v>0</v>
          </cell>
          <cell r="L3590">
            <v>0</v>
          </cell>
        </row>
        <row r="3591">
          <cell r="B3591">
            <v>2023</v>
          </cell>
          <cell r="C3591">
            <v>6</v>
          </cell>
          <cell r="E3591" t="str">
            <v>NO</v>
          </cell>
          <cell r="I3591">
            <v>13</v>
          </cell>
          <cell r="J3591">
            <v>20</v>
          </cell>
          <cell r="L3591">
            <v>0</v>
          </cell>
        </row>
        <row r="3592">
          <cell r="B3592">
            <v>2023</v>
          </cell>
          <cell r="C3592">
            <v>7</v>
          </cell>
          <cell r="E3592" t="str">
            <v>NO</v>
          </cell>
          <cell r="I3592">
            <v>24</v>
          </cell>
          <cell r="J3592">
            <v>31</v>
          </cell>
          <cell r="L3592">
            <v>0</v>
          </cell>
        </row>
        <row r="3593">
          <cell r="B3593">
            <v>2023</v>
          </cell>
          <cell r="C3593">
            <v>8</v>
          </cell>
          <cell r="E3593" t="str">
            <v>NO</v>
          </cell>
          <cell r="I3593">
            <v>38</v>
          </cell>
          <cell r="J3593">
            <v>27</v>
          </cell>
          <cell r="L3593">
            <v>0</v>
          </cell>
        </row>
        <row r="3594">
          <cell r="B3594">
            <v>2023</v>
          </cell>
          <cell r="C3594">
            <v>9</v>
          </cell>
          <cell r="E3594" t="str">
            <v>NO</v>
          </cell>
          <cell r="I3594">
            <v>24</v>
          </cell>
          <cell r="J3594">
            <v>17</v>
          </cell>
          <cell r="L3594">
            <v>0</v>
          </cell>
        </row>
        <row r="3595">
          <cell r="B3595">
            <v>2023</v>
          </cell>
          <cell r="C3595">
            <v>10</v>
          </cell>
          <cell r="E3595" t="str">
            <v>NO</v>
          </cell>
          <cell r="I3595">
            <v>19</v>
          </cell>
          <cell r="J3595">
            <v>27</v>
          </cell>
          <cell r="L3595">
            <v>0</v>
          </cell>
        </row>
        <row r="3596">
          <cell r="B3596">
            <v>2023</v>
          </cell>
          <cell r="C3596">
            <v>12</v>
          </cell>
          <cell r="E3596" t="str">
            <v>NO</v>
          </cell>
          <cell r="I3596">
            <v>15</v>
          </cell>
          <cell r="J3596">
            <v>24</v>
          </cell>
          <cell r="L3596">
            <v>0</v>
          </cell>
        </row>
        <row r="3597">
          <cell r="B3597">
            <v>2023</v>
          </cell>
          <cell r="C3597">
            <v>13</v>
          </cell>
          <cell r="E3597" t="str">
            <v>NO</v>
          </cell>
          <cell r="I3597">
            <v>28</v>
          </cell>
          <cell r="J3597">
            <v>33</v>
          </cell>
          <cell r="L3597">
            <v>0</v>
          </cell>
        </row>
        <row r="3598">
          <cell r="B3598">
            <v>2023</v>
          </cell>
          <cell r="C3598">
            <v>14</v>
          </cell>
          <cell r="E3598" t="str">
            <v>NO</v>
          </cell>
          <cell r="I3598">
            <v>28</v>
          </cell>
          <cell r="J3598">
            <v>6</v>
          </cell>
          <cell r="L3598">
            <v>0</v>
          </cell>
        </row>
        <row r="3599">
          <cell r="B3599">
            <v>2023</v>
          </cell>
          <cell r="C3599">
            <v>15</v>
          </cell>
          <cell r="E3599" t="str">
            <v>NO</v>
          </cell>
          <cell r="I3599">
            <v>24</v>
          </cell>
          <cell r="J3599">
            <v>6</v>
          </cell>
          <cell r="L3599">
            <v>0</v>
          </cell>
        </row>
        <row r="3600">
          <cell r="B3600">
            <v>2023</v>
          </cell>
          <cell r="C3600">
            <v>16</v>
          </cell>
          <cell r="E3600" t="str">
            <v>NO</v>
          </cell>
          <cell r="I3600">
            <v>22</v>
          </cell>
          <cell r="J3600">
            <v>30</v>
          </cell>
          <cell r="L3600">
            <v>0</v>
          </cell>
        </row>
        <row r="3601">
          <cell r="B3601">
            <v>2023</v>
          </cell>
          <cell r="C3601">
            <v>17</v>
          </cell>
          <cell r="E3601" t="str">
            <v>NO</v>
          </cell>
          <cell r="I3601">
            <v>23</v>
          </cell>
          <cell r="J3601">
            <v>13</v>
          </cell>
          <cell r="L3601">
            <v>0</v>
          </cell>
        </row>
        <row r="3602">
          <cell r="B3602">
            <v>2023</v>
          </cell>
          <cell r="C3602">
            <v>18</v>
          </cell>
          <cell r="E3602" t="str">
            <v>NO</v>
          </cell>
          <cell r="I3602">
            <v>48</v>
          </cell>
          <cell r="J3602">
            <v>17</v>
          </cell>
          <cell r="L3602">
            <v>0</v>
          </cell>
        </row>
        <row r="3603">
          <cell r="B3603">
            <v>2024</v>
          </cell>
          <cell r="C3603">
            <v>1</v>
          </cell>
          <cell r="E3603" t="str">
            <v>NO</v>
          </cell>
          <cell r="I3603">
            <v>47</v>
          </cell>
          <cell r="J3603">
            <v>10</v>
          </cell>
          <cell r="L3603">
            <v>0</v>
          </cell>
        </row>
        <row r="3604">
          <cell r="B3604">
            <v>2024</v>
          </cell>
          <cell r="C3604">
            <v>2</v>
          </cell>
          <cell r="E3604" t="str">
            <v>NO</v>
          </cell>
          <cell r="I3604">
            <v>44</v>
          </cell>
          <cell r="J3604">
            <v>19</v>
          </cell>
          <cell r="L3604">
            <v>0</v>
          </cell>
        </row>
        <row r="3605">
          <cell r="B3605">
            <v>2024</v>
          </cell>
          <cell r="C3605">
            <v>3</v>
          </cell>
          <cell r="E3605" t="str">
            <v>NO</v>
          </cell>
          <cell r="I3605">
            <v>12</v>
          </cell>
          <cell r="J3605">
            <v>15</v>
          </cell>
          <cell r="L3605">
            <v>0</v>
          </cell>
        </row>
        <row r="3606">
          <cell r="B3606">
            <v>2024</v>
          </cell>
          <cell r="C3606">
            <v>4</v>
          </cell>
          <cell r="E3606" t="str">
            <v>NO</v>
          </cell>
          <cell r="I3606">
            <v>24</v>
          </cell>
          <cell r="J3606">
            <v>26</v>
          </cell>
          <cell r="L3606">
            <v>0</v>
          </cell>
        </row>
        <row r="3607">
          <cell r="B3607">
            <v>2024</v>
          </cell>
          <cell r="C3607">
            <v>5</v>
          </cell>
          <cell r="E3607" t="str">
            <v>NO</v>
          </cell>
          <cell r="I3607">
            <v>13</v>
          </cell>
          <cell r="J3607">
            <v>26</v>
          </cell>
          <cell r="L3607">
            <v>0</v>
          </cell>
        </row>
        <row r="3608">
          <cell r="B3608">
            <v>2024</v>
          </cell>
          <cell r="C3608">
            <v>6</v>
          </cell>
          <cell r="E3608" t="str">
            <v>NO</v>
          </cell>
          <cell r="I3608">
            <v>27</v>
          </cell>
          <cell r="J3608">
            <v>51</v>
          </cell>
          <cell r="L3608">
            <v>0</v>
          </cell>
        </row>
        <row r="3609">
          <cell r="B3609">
            <v>2024</v>
          </cell>
          <cell r="C3609">
            <v>7</v>
          </cell>
          <cell r="E3609" t="str">
            <v>NO</v>
          </cell>
          <cell r="I3609">
            <v>10</v>
          </cell>
          <cell r="J3609">
            <v>33</v>
          </cell>
          <cell r="L3609">
            <v>0</v>
          </cell>
        </row>
        <row r="3610">
          <cell r="B3610">
            <v>2024</v>
          </cell>
          <cell r="C3610">
            <v>8</v>
          </cell>
          <cell r="E3610" t="str">
            <v>NO</v>
          </cell>
          <cell r="I3610">
            <v>8</v>
          </cell>
          <cell r="J3610">
            <v>26</v>
          </cell>
          <cell r="L3610">
            <v>0</v>
          </cell>
        </row>
        <row r="3611">
          <cell r="B3611">
            <v>2024</v>
          </cell>
          <cell r="C3611">
            <v>9</v>
          </cell>
          <cell r="E3611" t="str">
            <v>NO</v>
          </cell>
          <cell r="I3611">
            <v>22</v>
          </cell>
          <cell r="J3611">
            <v>23</v>
          </cell>
          <cell r="L3611">
            <v>0</v>
          </cell>
        </row>
        <row r="3612">
          <cell r="B3612">
            <v>2024</v>
          </cell>
          <cell r="C3612">
            <v>10</v>
          </cell>
          <cell r="E3612" t="str">
            <v>NO</v>
          </cell>
          <cell r="I3612">
            <v>20</v>
          </cell>
          <cell r="J3612">
            <v>17</v>
          </cell>
          <cell r="L3612">
            <v>0</v>
          </cell>
        </row>
        <row r="3613">
          <cell r="B3613">
            <v>2024</v>
          </cell>
          <cell r="C3613">
            <v>11</v>
          </cell>
          <cell r="E3613" t="str">
            <v>NO</v>
          </cell>
          <cell r="I3613">
            <v>35</v>
          </cell>
          <cell r="J3613">
            <v>14</v>
          </cell>
          <cell r="L3613">
            <v>0</v>
          </cell>
        </row>
        <row r="3614">
          <cell r="B3614">
            <v>2024</v>
          </cell>
          <cell r="C3614">
            <v>13</v>
          </cell>
          <cell r="E3614" t="str">
            <v>NO</v>
          </cell>
          <cell r="I3614">
            <v>14</v>
          </cell>
          <cell r="J3614">
            <v>21</v>
          </cell>
          <cell r="L3614">
            <v>0</v>
          </cell>
        </row>
        <row r="3615">
          <cell r="B3615">
            <v>2024</v>
          </cell>
          <cell r="C3615">
            <v>14</v>
          </cell>
          <cell r="E3615" t="str">
            <v>NO</v>
          </cell>
          <cell r="I3615">
            <v>14</v>
          </cell>
          <cell r="J3615">
            <v>11</v>
          </cell>
          <cell r="L3615">
            <v>0</v>
          </cell>
        </row>
        <row r="3616">
          <cell r="B3616">
            <v>2024</v>
          </cell>
          <cell r="C3616">
            <v>15</v>
          </cell>
          <cell r="E3616" t="str">
            <v>NO</v>
          </cell>
          <cell r="I3616">
            <v>19</v>
          </cell>
          <cell r="J3616">
            <v>20</v>
          </cell>
          <cell r="L3616">
            <v>0</v>
          </cell>
        </row>
        <row r="3617">
          <cell r="B3617">
            <v>2024</v>
          </cell>
          <cell r="C3617">
            <v>16</v>
          </cell>
          <cell r="E3617" t="str">
            <v>NO</v>
          </cell>
          <cell r="I3617">
            <v>0</v>
          </cell>
          <cell r="J3617">
            <v>34</v>
          </cell>
          <cell r="L3617">
            <v>0</v>
          </cell>
        </row>
        <row r="3618">
          <cell r="B3618">
            <v>2024</v>
          </cell>
          <cell r="C3618">
            <v>17</v>
          </cell>
          <cell r="E3618" t="str">
            <v>NO</v>
          </cell>
          <cell r="I3618">
            <v>10</v>
          </cell>
          <cell r="J3618">
            <v>25</v>
          </cell>
          <cell r="L3618">
            <v>0</v>
          </cell>
        </row>
        <row r="3619">
          <cell r="B3619">
            <v>2024</v>
          </cell>
          <cell r="C3619">
            <v>18</v>
          </cell>
          <cell r="E3619" t="str">
            <v>NO</v>
          </cell>
          <cell r="I3619">
            <v>19</v>
          </cell>
          <cell r="J3619">
            <v>27</v>
          </cell>
          <cell r="L3619">
            <v>0</v>
          </cell>
        </row>
        <row r="3620">
          <cell r="B3620">
            <v>2025</v>
          </cell>
          <cell r="C3620">
            <v>1</v>
          </cell>
          <cell r="E3620" t="str">
            <v>NO</v>
          </cell>
          <cell r="I3620">
            <v>13</v>
          </cell>
          <cell r="J3620">
            <v>20</v>
          </cell>
          <cell r="L3620">
            <v>0</v>
          </cell>
        </row>
        <row r="3621">
          <cell r="B3621">
            <v>2025</v>
          </cell>
          <cell r="C3621">
            <v>2</v>
          </cell>
          <cell r="E3621" t="str">
            <v>NO</v>
          </cell>
          <cell r="I3621">
            <v>21</v>
          </cell>
          <cell r="J3621">
            <v>26</v>
          </cell>
          <cell r="L3621">
            <v>0</v>
          </cell>
        </row>
        <row r="3622">
          <cell r="B3622">
            <v>2025</v>
          </cell>
          <cell r="C3622">
            <v>3</v>
          </cell>
          <cell r="E3622" t="str">
            <v>NO</v>
          </cell>
          <cell r="I3622">
            <v>13</v>
          </cell>
          <cell r="J3622">
            <v>44</v>
          </cell>
          <cell r="L3622">
            <v>0</v>
          </cell>
        </row>
        <row r="3623">
          <cell r="B3623">
            <v>2025</v>
          </cell>
          <cell r="C3623">
            <v>4</v>
          </cell>
          <cell r="E3623" t="str">
            <v>NO</v>
          </cell>
          <cell r="I3623">
            <v>19</v>
          </cell>
          <cell r="J3623">
            <v>31</v>
          </cell>
          <cell r="L3623">
            <v>0</v>
          </cell>
        </row>
        <row r="3624">
          <cell r="B3624">
            <v>2025</v>
          </cell>
          <cell r="C3624">
            <v>5</v>
          </cell>
          <cell r="E3624" t="str">
            <v>NO</v>
          </cell>
          <cell r="I3624">
            <v>26</v>
          </cell>
          <cell r="J3624">
            <v>14</v>
          </cell>
          <cell r="L3624">
            <v>0</v>
          </cell>
        </row>
        <row r="3625">
          <cell r="B3625">
            <v>2025</v>
          </cell>
          <cell r="C3625">
            <v>6</v>
          </cell>
          <cell r="E3625" t="str">
            <v>NO</v>
          </cell>
          <cell r="I3625">
            <v>19</v>
          </cell>
          <cell r="J3625">
            <v>25</v>
          </cell>
          <cell r="L3625">
            <v>0</v>
          </cell>
        </row>
        <row r="3626">
          <cell r="B3626">
            <v>2025</v>
          </cell>
          <cell r="C3626">
            <v>7</v>
          </cell>
          <cell r="E3626" t="str">
            <v>NO</v>
          </cell>
          <cell r="I3626">
            <v>14</v>
          </cell>
          <cell r="J3626">
            <v>26</v>
          </cell>
          <cell r="L3626">
            <v>0</v>
          </cell>
        </row>
        <row r="3627">
          <cell r="B3627">
            <v>2025</v>
          </cell>
          <cell r="C3627">
            <v>8</v>
          </cell>
          <cell r="E3627" t="str">
            <v>NO</v>
          </cell>
          <cell r="I3627">
            <v>3</v>
          </cell>
          <cell r="J3627">
            <v>23</v>
          </cell>
          <cell r="L3627">
            <v>0</v>
          </cell>
        </row>
        <row r="3628">
          <cell r="B3628">
            <v>2025</v>
          </cell>
          <cell r="C3628">
            <v>9</v>
          </cell>
          <cell r="E3628" t="str">
            <v>NO</v>
          </cell>
          <cell r="I3628">
            <v>10</v>
          </cell>
          <cell r="J3628">
            <v>34</v>
          </cell>
          <cell r="L3628">
            <v>0</v>
          </cell>
        </row>
        <row r="3629">
          <cell r="B3629">
            <v>2025</v>
          </cell>
          <cell r="C3629">
            <v>10</v>
          </cell>
          <cell r="E3629" t="str">
            <v>NO</v>
          </cell>
          <cell r="I3629">
            <v>17</v>
          </cell>
          <cell r="J3629">
            <v>7</v>
          </cell>
          <cell r="L3629">
            <v>0</v>
          </cell>
        </row>
        <row r="3630">
          <cell r="B3630">
            <v>2025</v>
          </cell>
          <cell r="C3630">
            <v>12</v>
          </cell>
          <cell r="E3630" t="str">
            <v>NO</v>
          </cell>
          <cell r="I3630">
            <v>10</v>
          </cell>
          <cell r="J3630">
            <v>24</v>
          </cell>
          <cell r="L3630">
            <v>0</v>
          </cell>
        </row>
        <row r="3631">
          <cell r="B3631">
            <v>2025</v>
          </cell>
          <cell r="C3631">
            <v>13</v>
          </cell>
          <cell r="E3631" t="str">
            <v>NO</v>
          </cell>
          <cell r="I3631">
            <v>17</v>
          </cell>
          <cell r="J3631">
            <v>21</v>
          </cell>
          <cell r="L3631">
            <v>0</v>
          </cell>
        </row>
        <row r="3632">
          <cell r="B3632">
            <v>2025</v>
          </cell>
          <cell r="C3632">
            <v>14</v>
          </cell>
          <cell r="E3632" t="str">
            <v>NO</v>
          </cell>
          <cell r="I3632">
            <v>24</v>
          </cell>
          <cell r="J3632">
            <v>20</v>
          </cell>
          <cell r="L3632">
            <v>0</v>
          </cell>
        </row>
        <row r="3633">
          <cell r="B3633">
            <v>2025</v>
          </cell>
          <cell r="C3633">
            <v>15</v>
          </cell>
          <cell r="E3633" t="str">
            <v>NO</v>
          </cell>
          <cell r="I3633">
            <v>20</v>
          </cell>
          <cell r="J3633">
            <v>17</v>
          </cell>
          <cell r="L3633">
            <v>0</v>
          </cell>
        </row>
        <row r="3634">
          <cell r="B3634">
            <v>2025</v>
          </cell>
          <cell r="C3634">
            <v>16</v>
          </cell>
          <cell r="E3634" t="str">
            <v>NO</v>
          </cell>
          <cell r="I3634">
            <v>29</v>
          </cell>
          <cell r="J3634">
            <v>6</v>
          </cell>
          <cell r="L3634">
            <v>0</v>
          </cell>
        </row>
        <row r="3635">
          <cell r="B3635">
            <v>2025</v>
          </cell>
          <cell r="C3635">
            <v>17</v>
          </cell>
          <cell r="E3635" t="str">
            <v>NO</v>
          </cell>
          <cell r="I3635">
            <v>34</v>
          </cell>
          <cell r="J3635">
            <v>26</v>
          </cell>
          <cell r="L3635">
            <v>0</v>
          </cell>
        </row>
        <row r="3636">
          <cell r="B3636">
            <v>2025</v>
          </cell>
          <cell r="C3636">
            <v>18</v>
          </cell>
          <cell r="E3636" t="str">
            <v>NO</v>
          </cell>
          <cell r="I3636">
            <v>17</v>
          </cell>
          <cell r="J3636">
            <v>19</v>
          </cell>
          <cell r="L3636">
            <v>0</v>
          </cell>
        </row>
        <row r="3637">
          <cell r="B3637">
            <v>2026</v>
          </cell>
          <cell r="C3637">
            <v>1</v>
          </cell>
          <cell r="E3637" t="str">
            <v>NO</v>
          </cell>
          <cell r="I3637">
            <v>30</v>
          </cell>
          <cell r="J3637">
            <v>31</v>
          </cell>
          <cell r="L3637">
            <v>0</v>
          </cell>
        </row>
        <row r="3638">
          <cell r="B3638">
            <v>2026</v>
          </cell>
          <cell r="C3638">
            <v>2</v>
          </cell>
          <cell r="E3638" t="str">
            <v>NO</v>
          </cell>
          <cell r="I3638">
            <v>24</v>
          </cell>
          <cell r="J3638">
            <v>17</v>
          </cell>
          <cell r="L3638">
            <v>0</v>
          </cell>
        </row>
        <row r="3639">
          <cell r="B3639">
            <v>2026</v>
          </cell>
          <cell r="C3639">
            <v>3</v>
          </cell>
          <cell r="E3639" t="str">
            <v>NO</v>
          </cell>
          <cell r="I3639">
            <v>27</v>
          </cell>
          <cell r="J3639">
            <v>35</v>
          </cell>
          <cell r="L3639">
            <v>0</v>
          </cell>
        </row>
        <row r="3640">
          <cell r="B3640">
            <v>2026</v>
          </cell>
          <cell r="C3640">
            <v>4</v>
          </cell>
          <cell r="E3640" t="str">
            <v>NO</v>
          </cell>
          <cell r="I3640">
            <v>24</v>
          </cell>
          <cell r="J3640">
            <v>45</v>
          </cell>
          <cell r="L3640">
            <v>0</v>
          </cell>
        </row>
        <row r="3641">
          <cell r="B3641">
            <v>2026</v>
          </cell>
          <cell r="C3641">
            <v>5</v>
          </cell>
          <cell r="E3641" t="str">
            <v>NO</v>
          </cell>
          <cell r="I3641">
            <v>13</v>
          </cell>
          <cell r="J3641">
            <v>23</v>
          </cell>
          <cell r="L3641">
            <v>0</v>
          </cell>
        </row>
        <row r="3642">
          <cell r="B3642">
            <v>2026</v>
          </cell>
          <cell r="C3642">
            <v>6</v>
          </cell>
          <cell r="E3642" t="str">
            <v>NO</v>
          </cell>
          <cell r="I3642">
            <v>34</v>
          </cell>
          <cell r="J3642">
            <v>27</v>
          </cell>
          <cell r="L3642">
            <v>0</v>
          </cell>
        </row>
        <row r="3643">
          <cell r="B3643">
            <v>2026</v>
          </cell>
          <cell r="C3643">
            <v>7</v>
          </cell>
          <cell r="E3643" t="str">
            <v>NO</v>
          </cell>
          <cell r="L3643">
            <v>0</v>
          </cell>
        </row>
        <row r="3644">
          <cell r="B3644">
            <v>2018</v>
          </cell>
          <cell r="C3644">
            <v>1</v>
          </cell>
          <cell r="E3644" t="str">
            <v>ATL</v>
          </cell>
          <cell r="I3644">
            <v>12</v>
          </cell>
          <cell r="J3644">
            <v>18</v>
          </cell>
          <cell r="L3644">
            <v>0</v>
          </cell>
        </row>
        <row r="3645">
          <cell r="B3645">
            <v>2018</v>
          </cell>
          <cell r="C3645">
            <v>2</v>
          </cell>
          <cell r="E3645" t="str">
            <v>ATL</v>
          </cell>
          <cell r="I3645">
            <v>31</v>
          </cell>
          <cell r="J3645">
            <v>24</v>
          </cell>
          <cell r="L3645">
            <v>0</v>
          </cell>
        </row>
        <row r="3646">
          <cell r="B3646">
            <v>2018</v>
          </cell>
          <cell r="C3646">
            <v>3</v>
          </cell>
          <cell r="E3646" t="str">
            <v>ATL</v>
          </cell>
          <cell r="I3646">
            <v>37</v>
          </cell>
          <cell r="J3646">
            <v>43</v>
          </cell>
          <cell r="L3646">
            <v>0</v>
          </cell>
        </row>
        <row r="3647">
          <cell r="B3647">
            <v>2018</v>
          </cell>
          <cell r="C3647">
            <v>4</v>
          </cell>
          <cell r="E3647" t="str">
            <v>ATL</v>
          </cell>
          <cell r="I3647">
            <v>36</v>
          </cell>
          <cell r="J3647">
            <v>37</v>
          </cell>
          <cell r="L3647">
            <v>0</v>
          </cell>
        </row>
        <row r="3648">
          <cell r="B3648">
            <v>2018</v>
          </cell>
          <cell r="C3648">
            <v>5</v>
          </cell>
          <cell r="E3648" t="str">
            <v>ATL</v>
          </cell>
          <cell r="I3648">
            <v>17</v>
          </cell>
          <cell r="J3648">
            <v>41</v>
          </cell>
          <cell r="L3648">
            <v>0</v>
          </cell>
        </row>
        <row r="3649">
          <cell r="B3649">
            <v>2018</v>
          </cell>
          <cell r="C3649">
            <v>6</v>
          </cell>
          <cell r="E3649" t="str">
            <v>ATL</v>
          </cell>
          <cell r="I3649">
            <v>34</v>
          </cell>
          <cell r="J3649">
            <v>29</v>
          </cell>
          <cell r="L3649">
            <v>0</v>
          </cell>
        </row>
        <row r="3650">
          <cell r="B3650">
            <v>2018</v>
          </cell>
          <cell r="C3650">
            <v>7</v>
          </cell>
          <cell r="E3650" t="str">
            <v>ATL</v>
          </cell>
          <cell r="I3650">
            <v>23</v>
          </cell>
          <cell r="J3650">
            <v>20</v>
          </cell>
          <cell r="L3650">
            <v>0</v>
          </cell>
        </row>
        <row r="3651">
          <cell r="B3651">
            <v>2018</v>
          </cell>
          <cell r="C3651">
            <v>9</v>
          </cell>
          <cell r="E3651" t="str">
            <v>ATL</v>
          </cell>
          <cell r="I3651">
            <v>38</v>
          </cell>
          <cell r="J3651">
            <v>14</v>
          </cell>
          <cell r="L3651">
            <v>0</v>
          </cell>
        </row>
        <row r="3652">
          <cell r="B3652">
            <v>2018</v>
          </cell>
          <cell r="C3652">
            <v>10</v>
          </cell>
          <cell r="E3652" t="str">
            <v>ATL</v>
          </cell>
          <cell r="I3652">
            <v>16</v>
          </cell>
          <cell r="J3652">
            <v>28</v>
          </cell>
          <cell r="L3652">
            <v>0</v>
          </cell>
        </row>
        <row r="3653">
          <cell r="B3653">
            <v>2018</v>
          </cell>
          <cell r="C3653">
            <v>11</v>
          </cell>
          <cell r="E3653" t="str">
            <v>ATL</v>
          </cell>
          <cell r="I3653">
            <v>19</v>
          </cell>
          <cell r="J3653">
            <v>22</v>
          </cell>
          <cell r="L3653">
            <v>0</v>
          </cell>
        </row>
        <row r="3654">
          <cell r="B3654">
            <v>2018</v>
          </cell>
          <cell r="C3654">
            <v>12</v>
          </cell>
          <cell r="E3654" t="str">
            <v>ATL</v>
          </cell>
          <cell r="I3654">
            <v>17</v>
          </cell>
          <cell r="J3654">
            <v>31</v>
          </cell>
          <cell r="L3654">
            <v>0</v>
          </cell>
        </row>
        <row r="3655">
          <cell r="B3655">
            <v>2018</v>
          </cell>
          <cell r="C3655">
            <v>13</v>
          </cell>
          <cell r="E3655" t="str">
            <v>ATL</v>
          </cell>
          <cell r="I3655">
            <v>16</v>
          </cell>
          <cell r="J3655">
            <v>26</v>
          </cell>
          <cell r="L3655">
            <v>0</v>
          </cell>
        </row>
        <row r="3656">
          <cell r="B3656">
            <v>2018</v>
          </cell>
          <cell r="C3656">
            <v>14</v>
          </cell>
          <cell r="E3656" t="str">
            <v>ATL</v>
          </cell>
          <cell r="I3656">
            <v>20</v>
          </cell>
          <cell r="J3656">
            <v>34</v>
          </cell>
          <cell r="L3656">
            <v>0</v>
          </cell>
        </row>
        <row r="3657">
          <cell r="B3657">
            <v>2018</v>
          </cell>
          <cell r="C3657">
            <v>15</v>
          </cell>
          <cell r="E3657" t="str">
            <v>ATL</v>
          </cell>
          <cell r="I3657">
            <v>40</v>
          </cell>
          <cell r="J3657">
            <v>14</v>
          </cell>
          <cell r="L3657">
            <v>0</v>
          </cell>
        </row>
        <row r="3658">
          <cell r="B3658">
            <v>2018</v>
          </cell>
          <cell r="C3658">
            <v>16</v>
          </cell>
          <cell r="E3658" t="str">
            <v>ATL</v>
          </cell>
          <cell r="I3658">
            <v>24</v>
          </cell>
          <cell r="J3658">
            <v>10</v>
          </cell>
          <cell r="L3658">
            <v>0</v>
          </cell>
        </row>
        <row r="3659">
          <cell r="B3659">
            <v>2018</v>
          </cell>
          <cell r="C3659">
            <v>17</v>
          </cell>
          <cell r="E3659" t="str">
            <v>ATL</v>
          </cell>
          <cell r="I3659">
            <v>34</v>
          </cell>
          <cell r="J3659">
            <v>32</v>
          </cell>
          <cell r="L3659">
            <v>0</v>
          </cell>
        </row>
        <row r="3660">
          <cell r="B3660">
            <v>2019</v>
          </cell>
          <cell r="C3660">
            <v>1</v>
          </cell>
          <cell r="E3660" t="str">
            <v>ATL</v>
          </cell>
          <cell r="I3660">
            <v>12</v>
          </cell>
          <cell r="J3660">
            <v>28</v>
          </cell>
          <cell r="L3660">
            <v>0</v>
          </cell>
        </row>
        <row r="3661">
          <cell r="B3661">
            <v>2019</v>
          </cell>
          <cell r="C3661">
            <v>2</v>
          </cell>
          <cell r="E3661" t="str">
            <v>ATL</v>
          </cell>
          <cell r="I3661">
            <v>24</v>
          </cell>
          <cell r="J3661">
            <v>20</v>
          </cell>
          <cell r="L3661">
            <v>0</v>
          </cell>
        </row>
        <row r="3662">
          <cell r="B3662">
            <v>2019</v>
          </cell>
          <cell r="C3662">
            <v>3</v>
          </cell>
          <cell r="E3662" t="str">
            <v>ATL</v>
          </cell>
          <cell r="I3662">
            <v>24</v>
          </cell>
          <cell r="J3662">
            <v>27</v>
          </cell>
          <cell r="L3662">
            <v>0</v>
          </cell>
        </row>
        <row r="3663">
          <cell r="B3663">
            <v>2019</v>
          </cell>
          <cell r="C3663">
            <v>4</v>
          </cell>
          <cell r="E3663" t="str">
            <v>ATL</v>
          </cell>
          <cell r="I3663">
            <v>10</v>
          </cell>
          <cell r="J3663">
            <v>24</v>
          </cell>
          <cell r="L3663">
            <v>0</v>
          </cell>
        </row>
        <row r="3664">
          <cell r="B3664">
            <v>2019</v>
          </cell>
          <cell r="C3664">
            <v>5</v>
          </cell>
          <cell r="E3664" t="str">
            <v>ATL</v>
          </cell>
          <cell r="I3664">
            <v>32</v>
          </cell>
          <cell r="J3664">
            <v>53</v>
          </cell>
          <cell r="L3664">
            <v>0</v>
          </cell>
        </row>
        <row r="3665">
          <cell r="B3665">
            <v>2019</v>
          </cell>
          <cell r="C3665">
            <v>6</v>
          </cell>
          <cell r="E3665" t="str">
            <v>ATL</v>
          </cell>
          <cell r="I3665">
            <v>33</v>
          </cell>
          <cell r="J3665">
            <v>34</v>
          </cell>
          <cell r="L3665">
            <v>0</v>
          </cell>
        </row>
        <row r="3666">
          <cell r="B3666">
            <v>2019</v>
          </cell>
          <cell r="C3666">
            <v>7</v>
          </cell>
          <cell r="E3666" t="str">
            <v>ATL</v>
          </cell>
          <cell r="I3666">
            <v>10</v>
          </cell>
          <cell r="J3666">
            <v>37</v>
          </cell>
          <cell r="L3666">
            <v>0</v>
          </cell>
        </row>
        <row r="3667">
          <cell r="B3667">
            <v>2019</v>
          </cell>
          <cell r="C3667">
            <v>8</v>
          </cell>
          <cell r="E3667" t="str">
            <v>ATL</v>
          </cell>
          <cell r="I3667">
            <v>20</v>
          </cell>
          <cell r="J3667">
            <v>27</v>
          </cell>
          <cell r="L3667">
            <v>0</v>
          </cell>
        </row>
        <row r="3668">
          <cell r="B3668">
            <v>2019</v>
          </cell>
          <cell r="C3668">
            <v>10</v>
          </cell>
          <cell r="E3668" t="str">
            <v>ATL</v>
          </cell>
          <cell r="I3668">
            <v>26</v>
          </cell>
          <cell r="J3668">
            <v>9</v>
          </cell>
          <cell r="L3668">
            <v>0</v>
          </cell>
        </row>
        <row r="3669">
          <cell r="B3669">
            <v>2019</v>
          </cell>
          <cell r="C3669">
            <v>11</v>
          </cell>
          <cell r="E3669" t="str">
            <v>ATL</v>
          </cell>
          <cell r="I3669">
            <v>29</v>
          </cell>
          <cell r="J3669">
            <v>3</v>
          </cell>
          <cell r="L3669">
            <v>0</v>
          </cell>
        </row>
        <row r="3670">
          <cell r="B3670">
            <v>2019</v>
          </cell>
          <cell r="C3670">
            <v>12</v>
          </cell>
          <cell r="E3670" t="str">
            <v>ATL</v>
          </cell>
          <cell r="I3670">
            <v>22</v>
          </cell>
          <cell r="J3670">
            <v>35</v>
          </cell>
          <cell r="L3670">
            <v>0</v>
          </cell>
        </row>
        <row r="3671">
          <cell r="B3671">
            <v>2019</v>
          </cell>
          <cell r="C3671">
            <v>13</v>
          </cell>
          <cell r="E3671" t="str">
            <v>ATL</v>
          </cell>
          <cell r="I3671">
            <v>18</v>
          </cell>
          <cell r="J3671">
            <v>26</v>
          </cell>
          <cell r="L3671">
            <v>0</v>
          </cell>
        </row>
        <row r="3672">
          <cell r="B3672">
            <v>2019</v>
          </cell>
          <cell r="C3672">
            <v>14</v>
          </cell>
          <cell r="E3672" t="str">
            <v>ATL</v>
          </cell>
          <cell r="I3672">
            <v>40</v>
          </cell>
          <cell r="J3672">
            <v>20</v>
          </cell>
          <cell r="L3672">
            <v>0</v>
          </cell>
        </row>
        <row r="3673">
          <cell r="B3673">
            <v>2019</v>
          </cell>
          <cell r="C3673">
            <v>15</v>
          </cell>
          <cell r="E3673" t="str">
            <v>ATL</v>
          </cell>
          <cell r="I3673">
            <v>29</v>
          </cell>
          <cell r="J3673">
            <v>22</v>
          </cell>
          <cell r="L3673">
            <v>0</v>
          </cell>
        </row>
        <row r="3674">
          <cell r="B3674">
            <v>2019</v>
          </cell>
          <cell r="C3674">
            <v>16</v>
          </cell>
          <cell r="E3674" t="str">
            <v>ATL</v>
          </cell>
          <cell r="I3674">
            <v>24</v>
          </cell>
          <cell r="J3674">
            <v>12</v>
          </cell>
          <cell r="L3674">
            <v>0</v>
          </cell>
        </row>
        <row r="3675">
          <cell r="B3675">
            <v>2019</v>
          </cell>
          <cell r="C3675">
            <v>17</v>
          </cell>
          <cell r="E3675" t="str">
            <v>ATL</v>
          </cell>
          <cell r="I3675">
            <v>28</v>
          </cell>
          <cell r="J3675">
            <v>22</v>
          </cell>
          <cell r="L3675">
            <v>0</v>
          </cell>
        </row>
        <row r="3676">
          <cell r="B3676">
            <v>2020</v>
          </cell>
          <cell r="C3676">
            <v>1</v>
          </cell>
          <cell r="E3676" t="str">
            <v>ATL</v>
          </cell>
          <cell r="I3676">
            <v>25</v>
          </cell>
          <cell r="J3676">
            <v>38</v>
          </cell>
          <cell r="L3676">
            <v>0</v>
          </cell>
        </row>
        <row r="3677">
          <cell r="B3677">
            <v>2020</v>
          </cell>
          <cell r="C3677">
            <v>2</v>
          </cell>
          <cell r="E3677" t="str">
            <v>ATL</v>
          </cell>
          <cell r="I3677">
            <v>39</v>
          </cell>
          <cell r="J3677">
            <v>40</v>
          </cell>
          <cell r="L3677">
            <v>0</v>
          </cell>
        </row>
        <row r="3678">
          <cell r="B3678">
            <v>2020</v>
          </cell>
          <cell r="C3678">
            <v>3</v>
          </cell>
          <cell r="E3678" t="str">
            <v>ATL</v>
          </cell>
          <cell r="I3678">
            <v>26</v>
          </cell>
          <cell r="J3678">
            <v>30</v>
          </cell>
          <cell r="L3678">
            <v>0</v>
          </cell>
        </row>
        <row r="3679">
          <cell r="B3679">
            <v>2020</v>
          </cell>
          <cell r="C3679">
            <v>4</v>
          </cell>
          <cell r="E3679" t="str">
            <v>ATL</v>
          </cell>
          <cell r="I3679">
            <v>16</v>
          </cell>
          <cell r="J3679">
            <v>30</v>
          </cell>
          <cell r="L3679">
            <v>0</v>
          </cell>
        </row>
        <row r="3680">
          <cell r="B3680">
            <v>2020</v>
          </cell>
          <cell r="C3680">
            <v>5</v>
          </cell>
          <cell r="E3680" t="str">
            <v>ATL</v>
          </cell>
          <cell r="I3680">
            <v>16</v>
          </cell>
          <cell r="J3680">
            <v>23</v>
          </cell>
          <cell r="L3680">
            <v>0</v>
          </cell>
        </row>
        <row r="3681">
          <cell r="B3681">
            <v>2020</v>
          </cell>
          <cell r="C3681">
            <v>6</v>
          </cell>
          <cell r="E3681" t="str">
            <v>ATL</v>
          </cell>
          <cell r="I3681">
            <v>40</v>
          </cell>
          <cell r="J3681">
            <v>23</v>
          </cell>
          <cell r="L3681">
            <v>0</v>
          </cell>
        </row>
        <row r="3682">
          <cell r="B3682">
            <v>2020</v>
          </cell>
          <cell r="C3682">
            <v>7</v>
          </cell>
          <cell r="E3682" t="str">
            <v>ATL</v>
          </cell>
          <cell r="I3682">
            <v>22</v>
          </cell>
          <cell r="J3682">
            <v>23</v>
          </cell>
          <cell r="L3682">
            <v>0</v>
          </cell>
        </row>
        <row r="3683">
          <cell r="B3683">
            <v>2020</v>
          </cell>
          <cell r="C3683">
            <v>8</v>
          </cell>
          <cell r="E3683" t="str">
            <v>ATL</v>
          </cell>
          <cell r="I3683">
            <v>25</v>
          </cell>
          <cell r="J3683">
            <v>17</v>
          </cell>
          <cell r="L3683">
            <v>0</v>
          </cell>
        </row>
        <row r="3684">
          <cell r="B3684">
            <v>2020</v>
          </cell>
          <cell r="C3684">
            <v>9</v>
          </cell>
          <cell r="E3684" t="str">
            <v>ATL</v>
          </cell>
          <cell r="I3684">
            <v>34</v>
          </cell>
          <cell r="J3684">
            <v>27</v>
          </cell>
          <cell r="L3684">
            <v>0</v>
          </cell>
        </row>
        <row r="3685">
          <cell r="B3685">
            <v>2020</v>
          </cell>
          <cell r="C3685">
            <v>11</v>
          </cell>
          <cell r="E3685" t="str">
            <v>ATL</v>
          </cell>
          <cell r="I3685">
            <v>9</v>
          </cell>
          <cell r="J3685">
            <v>24</v>
          </cell>
          <cell r="L3685">
            <v>0</v>
          </cell>
        </row>
        <row r="3686">
          <cell r="B3686">
            <v>2020</v>
          </cell>
          <cell r="C3686">
            <v>12</v>
          </cell>
          <cell r="E3686" t="str">
            <v>ATL</v>
          </cell>
          <cell r="I3686">
            <v>43</v>
          </cell>
          <cell r="J3686">
            <v>6</v>
          </cell>
          <cell r="L3686">
            <v>0</v>
          </cell>
        </row>
        <row r="3687">
          <cell r="B3687">
            <v>2020</v>
          </cell>
          <cell r="C3687">
            <v>13</v>
          </cell>
          <cell r="E3687" t="str">
            <v>ATL</v>
          </cell>
          <cell r="I3687">
            <v>16</v>
          </cell>
          <cell r="J3687">
            <v>21</v>
          </cell>
          <cell r="L3687">
            <v>0</v>
          </cell>
        </row>
        <row r="3688">
          <cell r="B3688">
            <v>2020</v>
          </cell>
          <cell r="C3688">
            <v>14</v>
          </cell>
          <cell r="E3688" t="str">
            <v>ATL</v>
          </cell>
          <cell r="I3688">
            <v>17</v>
          </cell>
          <cell r="J3688">
            <v>20</v>
          </cell>
          <cell r="L3688">
            <v>0</v>
          </cell>
        </row>
        <row r="3689">
          <cell r="B3689">
            <v>2020</v>
          </cell>
          <cell r="C3689">
            <v>15</v>
          </cell>
          <cell r="E3689" t="str">
            <v>ATL</v>
          </cell>
          <cell r="I3689">
            <v>27</v>
          </cell>
          <cell r="J3689">
            <v>31</v>
          </cell>
          <cell r="L3689">
            <v>0</v>
          </cell>
        </row>
        <row r="3690">
          <cell r="B3690">
            <v>2020</v>
          </cell>
          <cell r="C3690">
            <v>16</v>
          </cell>
          <cell r="E3690" t="str">
            <v>ATL</v>
          </cell>
          <cell r="I3690">
            <v>14</v>
          </cell>
          <cell r="J3690">
            <v>17</v>
          </cell>
          <cell r="L3690">
            <v>0</v>
          </cell>
        </row>
        <row r="3691">
          <cell r="B3691">
            <v>2020</v>
          </cell>
          <cell r="C3691">
            <v>17</v>
          </cell>
          <cell r="E3691" t="str">
            <v>ATL</v>
          </cell>
          <cell r="I3691">
            <v>27</v>
          </cell>
          <cell r="J3691">
            <v>44</v>
          </cell>
          <cell r="L3691">
            <v>0</v>
          </cell>
        </row>
        <row r="3692">
          <cell r="B3692">
            <v>2021</v>
          </cell>
          <cell r="C3692">
            <v>1</v>
          </cell>
          <cell r="E3692" t="str">
            <v>ATL</v>
          </cell>
          <cell r="I3692">
            <v>6</v>
          </cell>
          <cell r="J3692">
            <v>32</v>
          </cell>
          <cell r="L3692">
            <v>0</v>
          </cell>
        </row>
        <row r="3693">
          <cell r="B3693">
            <v>2021</v>
          </cell>
          <cell r="C3693">
            <v>2</v>
          </cell>
          <cell r="E3693" t="str">
            <v>ATL</v>
          </cell>
          <cell r="I3693">
            <v>25</v>
          </cell>
          <cell r="J3693">
            <v>48</v>
          </cell>
          <cell r="L3693">
            <v>0</v>
          </cell>
        </row>
        <row r="3694">
          <cell r="B3694">
            <v>2021</v>
          </cell>
          <cell r="C3694">
            <v>3</v>
          </cell>
          <cell r="E3694" t="str">
            <v>ATL</v>
          </cell>
          <cell r="I3694">
            <v>17</v>
          </cell>
          <cell r="J3694">
            <v>14</v>
          </cell>
          <cell r="L3694">
            <v>0</v>
          </cell>
        </row>
        <row r="3695">
          <cell r="B3695">
            <v>2021</v>
          </cell>
          <cell r="C3695">
            <v>4</v>
          </cell>
          <cell r="E3695" t="str">
            <v>ATL</v>
          </cell>
          <cell r="I3695">
            <v>30</v>
          </cell>
          <cell r="J3695">
            <v>34</v>
          </cell>
          <cell r="L3695">
            <v>0</v>
          </cell>
        </row>
        <row r="3696">
          <cell r="B3696">
            <v>2021</v>
          </cell>
          <cell r="C3696">
            <v>5</v>
          </cell>
          <cell r="E3696" t="str">
            <v>ATL</v>
          </cell>
          <cell r="I3696">
            <v>27</v>
          </cell>
          <cell r="J3696">
            <v>20</v>
          </cell>
          <cell r="L3696">
            <v>0</v>
          </cell>
        </row>
        <row r="3697">
          <cell r="B3697">
            <v>2021</v>
          </cell>
          <cell r="C3697">
            <v>7</v>
          </cell>
          <cell r="E3697" t="str">
            <v>ATL</v>
          </cell>
          <cell r="I3697">
            <v>30</v>
          </cell>
          <cell r="J3697">
            <v>28</v>
          </cell>
          <cell r="L3697">
            <v>0</v>
          </cell>
        </row>
        <row r="3698">
          <cell r="B3698">
            <v>2021</v>
          </cell>
          <cell r="C3698">
            <v>8</v>
          </cell>
          <cell r="E3698" t="str">
            <v>ATL</v>
          </cell>
          <cell r="I3698">
            <v>13</v>
          </cell>
          <cell r="J3698">
            <v>19</v>
          </cell>
          <cell r="L3698">
            <v>0</v>
          </cell>
        </row>
        <row r="3699">
          <cell r="B3699">
            <v>2021</v>
          </cell>
          <cell r="C3699">
            <v>9</v>
          </cell>
          <cell r="E3699" t="str">
            <v>ATL</v>
          </cell>
          <cell r="I3699">
            <v>27</v>
          </cell>
          <cell r="J3699">
            <v>25</v>
          </cell>
          <cell r="L3699">
            <v>0</v>
          </cell>
        </row>
        <row r="3700">
          <cell r="B3700">
            <v>2021</v>
          </cell>
          <cell r="C3700">
            <v>10</v>
          </cell>
          <cell r="E3700" t="str">
            <v>ATL</v>
          </cell>
          <cell r="I3700">
            <v>3</v>
          </cell>
          <cell r="J3700">
            <v>43</v>
          </cell>
          <cell r="L3700">
            <v>0</v>
          </cell>
        </row>
        <row r="3701">
          <cell r="B3701">
            <v>2021</v>
          </cell>
          <cell r="C3701">
            <v>11</v>
          </cell>
          <cell r="E3701" t="str">
            <v>ATL</v>
          </cell>
          <cell r="I3701">
            <v>0</v>
          </cell>
          <cell r="J3701">
            <v>25</v>
          </cell>
          <cell r="L3701">
            <v>0</v>
          </cell>
        </row>
        <row r="3702">
          <cell r="B3702">
            <v>2021</v>
          </cell>
          <cell r="C3702">
            <v>12</v>
          </cell>
          <cell r="E3702" t="str">
            <v>ATL</v>
          </cell>
          <cell r="I3702">
            <v>21</v>
          </cell>
          <cell r="J3702">
            <v>14</v>
          </cell>
          <cell r="L3702">
            <v>0</v>
          </cell>
        </row>
        <row r="3703">
          <cell r="B3703">
            <v>2021</v>
          </cell>
          <cell r="C3703">
            <v>13</v>
          </cell>
          <cell r="E3703" t="str">
            <v>ATL</v>
          </cell>
          <cell r="I3703">
            <v>17</v>
          </cell>
          <cell r="J3703">
            <v>30</v>
          </cell>
          <cell r="L3703">
            <v>0</v>
          </cell>
        </row>
        <row r="3704">
          <cell r="B3704">
            <v>2021</v>
          </cell>
          <cell r="C3704">
            <v>14</v>
          </cell>
          <cell r="E3704" t="str">
            <v>ATL</v>
          </cell>
          <cell r="I3704">
            <v>29</v>
          </cell>
          <cell r="J3704">
            <v>21</v>
          </cell>
          <cell r="L3704">
            <v>0</v>
          </cell>
        </row>
        <row r="3705">
          <cell r="B3705">
            <v>2021</v>
          </cell>
          <cell r="C3705">
            <v>15</v>
          </cell>
          <cell r="E3705" t="str">
            <v>ATL</v>
          </cell>
          <cell r="I3705">
            <v>13</v>
          </cell>
          <cell r="J3705">
            <v>31</v>
          </cell>
          <cell r="L3705">
            <v>0</v>
          </cell>
        </row>
        <row r="3706">
          <cell r="B3706">
            <v>2021</v>
          </cell>
          <cell r="C3706">
            <v>16</v>
          </cell>
          <cell r="E3706" t="str">
            <v>ATL</v>
          </cell>
          <cell r="I3706">
            <v>20</v>
          </cell>
          <cell r="J3706">
            <v>16</v>
          </cell>
          <cell r="L3706">
            <v>0</v>
          </cell>
        </row>
        <row r="3707">
          <cell r="B3707">
            <v>2021</v>
          </cell>
          <cell r="C3707">
            <v>17</v>
          </cell>
          <cell r="E3707" t="str">
            <v>ATL</v>
          </cell>
          <cell r="I3707">
            <v>15</v>
          </cell>
          <cell r="J3707">
            <v>29</v>
          </cell>
          <cell r="L3707">
            <v>0</v>
          </cell>
        </row>
        <row r="3708">
          <cell r="B3708">
            <v>2021</v>
          </cell>
          <cell r="C3708">
            <v>18</v>
          </cell>
          <cell r="E3708" t="str">
            <v>ATL</v>
          </cell>
          <cell r="I3708">
            <v>20</v>
          </cell>
          <cell r="J3708">
            <v>30</v>
          </cell>
          <cell r="L3708">
            <v>0</v>
          </cell>
        </row>
        <row r="3709">
          <cell r="B3709">
            <v>2022</v>
          </cell>
          <cell r="C3709">
            <v>1</v>
          </cell>
          <cell r="E3709" t="str">
            <v>ATL</v>
          </cell>
          <cell r="I3709">
            <v>26</v>
          </cell>
          <cell r="J3709">
            <v>27</v>
          </cell>
          <cell r="L3709">
            <v>0</v>
          </cell>
        </row>
        <row r="3710">
          <cell r="B3710">
            <v>2022</v>
          </cell>
          <cell r="C3710">
            <v>2</v>
          </cell>
          <cell r="E3710" t="str">
            <v>ATL</v>
          </cell>
          <cell r="I3710">
            <v>27</v>
          </cell>
          <cell r="J3710">
            <v>31</v>
          </cell>
          <cell r="L3710">
            <v>0</v>
          </cell>
        </row>
        <row r="3711">
          <cell r="B3711">
            <v>2022</v>
          </cell>
          <cell r="C3711">
            <v>3</v>
          </cell>
          <cell r="E3711" t="str">
            <v>ATL</v>
          </cell>
          <cell r="I3711">
            <v>27</v>
          </cell>
          <cell r="J3711">
            <v>23</v>
          </cell>
          <cell r="L3711">
            <v>0</v>
          </cell>
        </row>
        <row r="3712">
          <cell r="B3712">
            <v>2022</v>
          </cell>
          <cell r="C3712">
            <v>4</v>
          </cell>
          <cell r="E3712" t="str">
            <v>ATL</v>
          </cell>
          <cell r="I3712">
            <v>23</v>
          </cell>
          <cell r="J3712">
            <v>20</v>
          </cell>
          <cell r="L3712">
            <v>0</v>
          </cell>
        </row>
        <row r="3713">
          <cell r="B3713">
            <v>2022</v>
          </cell>
          <cell r="C3713">
            <v>5</v>
          </cell>
          <cell r="E3713" t="str">
            <v>ATL</v>
          </cell>
          <cell r="I3713">
            <v>15</v>
          </cell>
          <cell r="J3713">
            <v>21</v>
          </cell>
          <cell r="L3713">
            <v>0</v>
          </cell>
        </row>
        <row r="3714">
          <cell r="B3714">
            <v>2022</v>
          </cell>
          <cell r="C3714">
            <v>6</v>
          </cell>
          <cell r="E3714" t="str">
            <v>ATL</v>
          </cell>
          <cell r="I3714">
            <v>28</v>
          </cell>
          <cell r="J3714">
            <v>14</v>
          </cell>
          <cell r="L3714">
            <v>0</v>
          </cell>
        </row>
        <row r="3715">
          <cell r="B3715">
            <v>2022</v>
          </cell>
          <cell r="C3715">
            <v>7</v>
          </cell>
          <cell r="E3715" t="str">
            <v>ATL</v>
          </cell>
          <cell r="I3715">
            <v>17</v>
          </cell>
          <cell r="J3715">
            <v>35</v>
          </cell>
          <cell r="L3715">
            <v>0</v>
          </cell>
        </row>
        <row r="3716">
          <cell r="B3716">
            <v>2022</v>
          </cell>
          <cell r="C3716">
            <v>8</v>
          </cell>
          <cell r="E3716" t="str">
            <v>ATL</v>
          </cell>
          <cell r="I3716">
            <v>37</v>
          </cell>
          <cell r="J3716">
            <v>34</v>
          </cell>
          <cell r="L3716">
            <v>0</v>
          </cell>
        </row>
        <row r="3717">
          <cell r="B3717">
            <v>2022</v>
          </cell>
          <cell r="C3717">
            <v>9</v>
          </cell>
          <cell r="E3717" t="str">
            <v>ATL</v>
          </cell>
          <cell r="I3717">
            <v>17</v>
          </cell>
          <cell r="J3717">
            <v>20</v>
          </cell>
          <cell r="L3717">
            <v>0</v>
          </cell>
        </row>
        <row r="3718">
          <cell r="B3718">
            <v>2022</v>
          </cell>
          <cell r="C3718">
            <v>10</v>
          </cell>
          <cell r="E3718" t="str">
            <v>ATL</v>
          </cell>
          <cell r="I3718">
            <v>15</v>
          </cell>
          <cell r="J3718">
            <v>25</v>
          </cell>
          <cell r="L3718">
            <v>0</v>
          </cell>
        </row>
        <row r="3719">
          <cell r="B3719">
            <v>2022</v>
          </cell>
          <cell r="C3719">
            <v>11</v>
          </cell>
          <cell r="E3719" t="str">
            <v>ATL</v>
          </cell>
          <cell r="I3719">
            <v>27</v>
          </cell>
          <cell r="J3719">
            <v>24</v>
          </cell>
          <cell r="L3719">
            <v>0</v>
          </cell>
        </row>
        <row r="3720">
          <cell r="B3720">
            <v>2022</v>
          </cell>
          <cell r="C3720">
            <v>12</v>
          </cell>
          <cell r="E3720" t="str">
            <v>ATL</v>
          </cell>
          <cell r="I3720">
            <v>13</v>
          </cell>
          <cell r="J3720">
            <v>19</v>
          </cell>
          <cell r="L3720">
            <v>0</v>
          </cell>
        </row>
        <row r="3721">
          <cell r="B3721">
            <v>2022</v>
          </cell>
          <cell r="C3721">
            <v>13</v>
          </cell>
          <cell r="E3721" t="str">
            <v>ATL</v>
          </cell>
          <cell r="I3721">
            <v>16</v>
          </cell>
          <cell r="J3721">
            <v>19</v>
          </cell>
          <cell r="L3721">
            <v>0</v>
          </cell>
        </row>
        <row r="3722">
          <cell r="B3722">
            <v>2022</v>
          </cell>
          <cell r="C3722">
            <v>15</v>
          </cell>
          <cell r="E3722" t="str">
            <v>ATL</v>
          </cell>
          <cell r="I3722">
            <v>18</v>
          </cell>
          <cell r="J3722">
            <v>21</v>
          </cell>
          <cell r="L3722">
            <v>0</v>
          </cell>
        </row>
        <row r="3723">
          <cell r="B3723">
            <v>2022</v>
          </cell>
          <cell r="C3723">
            <v>16</v>
          </cell>
          <cell r="E3723" t="str">
            <v>ATL</v>
          </cell>
          <cell r="I3723">
            <v>9</v>
          </cell>
          <cell r="J3723">
            <v>17</v>
          </cell>
          <cell r="L3723">
            <v>0</v>
          </cell>
        </row>
        <row r="3724">
          <cell r="B3724">
            <v>2022</v>
          </cell>
          <cell r="C3724">
            <v>17</v>
          </cell>
          <cell r="E3724" t="str">
            <v>ATL</v>
          </cell>
          <cell r="I3724">
            <v>20</v>
          </cell>
          <cell r="J3724">
            <v>19</v>
          </cell>
          <cell r="L3724">
            <v>0</v>
          </cell>
        </row>
        <row r="3725">
          <cell r="B3725">
            <v>2022</v>
          </cell>
          <cell r="C3725">
            <v>18</v>
          </cell>
          <cell r="E3725" t="str">
            <v>ATL</v>
          </cell>
          <cell r="I3725">
            <v>30</v>
          </cell>
          <cell r="J3725">
            <v>17</v>
          </cell>
          <cell r="L3725">
            <v>0</v>
          </cell>
        </row>
        <row r="3726">
          <cell r="B3726">
            <v>2023</v>
          </cell>
          <cell r="C3726">
            <v>1</v>
          </cell>
          <cell r="E3726" t="str">
            <v>ATL</v>
          </cell>
          <cell r="I3726">
            <v>24</v>
          </cell>
          <cell r="J3726">
            <v>10</v>
          </cell>
          <cell r="L3726">
            <v>0</v>
          </cell>
        </row>
        <row r="3727">
          <cell r="B3727">
            <v>2023</v>
          </cell>
          <cell r="C3727">
            <v>2</v>
          </cell>
          <cell r="E3727" t="str">
            <v>ATL</v>
          </cell>
          <cell r="I3727">
            <v>25</v>
          </cell>
          <cell r="J3727">
            <v>24</v>
          </cell>
          <cell r="L3727">
            <v>0</v>
          </cell>
        </row>
        <row r="3728">
          <cell r="B3728">
            <v>2023</v>
          </cell>
          <cell r="C3728">
            <v>3</v>
          </cell>
          <cell r="E3728" t="str">
            <v>ATL</v>
          </cell>
          <cell r="I3728">
            <v>6</v>
          </cell>
          <cell r="J3728">
            <v>20</v>
          </cell>
          <cell r="L3728">
            <v>0</v>
          </cell>
        </row>
        <row r="3729">
          <cell r="B3729">
            <v>2023</v>
          </cell>
          <cell r="C3729">
            <v>4</v>
          </cell>
          <cell r="E3729" t="str">
            <v>ATL</v>
          </cell>
          <cell r="I3729">
            <v>7</v>
          </cell>
          <cell r="J3729">
            <v>23</v>
          </cell>
          <cell r="L3729">
            <v>0</v>
          </cell>
        </row>
        <row r="3730">
          <cell r="B3730">
            <v>2023</v>
          </cell>
          <cell r="C3730">
            <v>5</v>
          </cell>
          <cell r="E3730" t="str">
            <v>ATL</v>
          </cell>
          <cell r="I3730">
            <v>21</v>
          </cell>
          <cell r="J3730">
            <v>19</v>
          </cell>
          <cell r="L3730">
            <v>0</v>
          </cell>
        </row>
        <row r="3731">
          <cell r="B3731">
            <v>2023</v>
          </cell>
          <cell r="C3731">
            <v>6</v>
          </cell>
          <cell r="E3731" t="str">
            <v>ATL</v>
          </cell>
          <cell r="I3731">
            <v>16</v>
          </cell>
          <cell r="J3731">
            <v>24</v>
          </cell>
          <cell r="L3731">
            <v>0</v>
          </cell>
        </row>
        <row r="3732">
          <cell r="B3732">
            <v>2023</v>
          </cell>
          <cell r="C3732">
            <v>7</v>
          </cell>
          <cell r="E3732" t="str">
            <v>ATL</v>
          </cell>
          <cell r="I3732">
            <v>16</v>
          </cell>
          <cell r="J3732">
            <v>13</v>
          </cell>
          <cell r="L3732">
            <v>0</v>
          </cell>
        </row>
        <row r="3733">
          <cell r="B3733">
            <v>2023</v>
          </cell>
          <cell r="C3733">
            <v>8</v>
          </cell>
          <cell r="E3733" t="str">
            <v>ATL</v>
          </cell>
          <cell r="I3733">
            <v>23</v>
          </cell>
          <cell r="J3733">
            <v>28</v>
          </cell>
          <cell r="L3733">
            <v>0</v>
          </cell>
        </row>
        <row r="3734">
          <cell r="B3734">
            <v>2023</v>
          </cell>
          <cell r="C3734">
            <v>9</v>
          </cell>
          <cell r="E3734" t="str">
            <v>ATL</v>
          </cell>
          <cell r="I3734">
            <v>28</v>
          </cell>
          <cell r="J3734">
            <v>31</v>
          </cell>
          <cell r="L3734">
            <v>0</v>
          </cell>
        </row>
        <row r="3735">
          <cell r="B3735">
            <v>2023</v>
          </cell>
          <cell r="C3735">
            <v>10</v>
          </cell>
          <cell r="E3735" t="str">
            <v>ATL</v>
          </cell>
          <cell r="I3735">
            <v>23</v>
          </cell>
          <cell r="J3735">
            <v>25</v>
          </cell>
          <cell r="L3735">
            <v>0</v>
          </cell>
        </row>
        <row r="3736">
          <cell r="B3736">
            <v>2023</v>
          </cell>
          <cell r="C3736">
            <v>12</v>
          </cell>
          <cell r="E3736" t="str">
            <v>ATL</v>
          </cell>
          <cell r="I3736">
            <v>24</v>
          </cell>
          <cell r="J3736">
            <v>15</v>
          </cell>
          <cell r="L3736">
            <v>0</v>
          </cell>
        </row>
        <row r="3737">
          <cell r="B3737">
            <v>2023</v>
          </cell>
          <cell r="C3737">
            <v>13</v>
          </cell>
          <cell r="E3737" t="str">
            <v>ATL</v>
          </cell>
          <cell r="I3737">
            <v>13</v>
          </cell>
          <cell r="J3737">
            <v>8</v>
          </cell>
          <cell r="L3737">
            <v>0</v>
          </cell>
        </row>
        <row r="3738">
          <cell r="B3738">
            <v>2023</v>
          </cell>
          <cell r="C3738">
            <v>14</v>
          </cell>
          <cell r="E3738" t="str">
            <v>ATL</v>
          </cell>
          <cell r="I3738">
            <v>25</v>
          </cell>
          <cell r="J3738">
            <v>29</v>
          </cell>
          <cell r="L3738">
            <v>0</v>
          </cell>
        </row>
        <row r="3739">
          <cell r="B3739">
            <v>2023</v>
          </cell>
          <cell r="C3739">
            <v>15</v>
          </cell>
          <cell r="E3739" t="str">
            <v>ATL</v>
          </cell>
          <cell r="I3739">
            <v>7</v>
          </cell>
          <cell r="J3739">
            <v>9</v>
          </cell>
          <cell r="L3739">
            <v>0</v>
          </cell>
        </row>
        <row r="3740">
          <cell r="B3740">
            <v>2023</v>
          </cell>
          <cell r="C3740">
            <v>16</v>
          </cell>
          <cell r="E3740" t="str">
            <v>ATL</v>
          </cell>
          <cell r="I3740">
            <v>29</v>
          </cell>
          <cell r="J3740">
            <v>10</v>
          </cell>
          <cell r="L3740">
            <v>0</v>
          </cell>
        </row>
        <row r="3741">
          <cell r="B3741">
            <v>2023</v>
          </cell>
          <cell r="C3741">
            <v>17</v>
          </cell>
          <cell r="E3741" t="str">
            <v>ATL</v>
          </cell>
          <cell r="I3741">
            <v>17</v>
          </cell>
          <cell r="J3741">
            <v>37</v>
          </cell>
          <cell r="L3741">
            <v>0</v>
          </cell>
        </row>
        <row r="3742">
          <cell r="B3742">
            <v>2023</v>
          </cell>
          <cell r="C3742">
            <v>18</v>
          </cell>
          <cell r="E3742" t="str">
            <v>ATL</v>
          </cell>
          <cell r="I3742">
            <v>17</v>
          </cell>
          <cell r="J3742">
            <v>48</v>
          </cell>
          <cell r="L3742">
            <v>0</v>
          </cell>
        </row>
        <row r="3743">
          <cell r="B3743">
            <v>2024</v>
          </cell>
          <cell r="C3743">
            <v>1</v>
          </cell>
          <cell r="E3743" t="str">
            <v>ATL</v>
          </cell>
          <cell r="I3743">
            <v>10</v>
          </cell>
          <cell r="J3743">
            <v>18</v>
          </cell>
          <cell r="L3743">
            <v>0</v>
          </cell>
        </row>
        <row r="3744">
          <cell r="B3744">
            <v>2024</v>
          </cell>
          <cell r="C3744">
            <v>2</v>
          </cell>
          <cell r="E3744" t="str">
            <v>ATL</v>
          </cell>
          <cell r="I3744">
            <v>22</v>
          </cell>
          <cell r="J3744">
            <v>21</v>
          </cell>
          <cell r="L3744">
            <v>0</v>
          </cell>
        </row>
        <row r="3745">
          <cell r="B3745">
            <v>2024</v>
          </cell>
          <cell r="C3745">
            <v>3</v>
          </cell>
          <cell r="E3745" t="str">
            <v>ATL</v>
          </cell>
          <cell r="I3745">
            <v>17</v>
          </cell>
          <cell r="J3745">
            <v>22</v>
          </cell>
          <cell r="L3745">
            <v>0</v>
          </cell>
        </row>
        <row r="3746">
          <cell r="B3746">
            <v>2024</v>
          </cell>
          <cell r="C3746">
            <v>4</v>
          </cell>
          <cell r="E3746" t="str">
            <v>ATL</v>
          </cell>
          <cell r="I3746">
            <v>26</v>
          </cell>
          <cell r="J3746">
            <v>24</v>
          </cell>
          <cell r="L3746">
            <v>0</v>
          </cell>
        </row>
        <row r="3747">
          <cell r="B3747">
            <v>2024</v>
          </cell>
          <cell r="C3747">
            <v>5</v>
          </cell>
          <cell r="E3747" t="str">
            <v>ATL</v>
          </cell>
          <cell r="I3747">
            <v>36</v>
          </cell>
          <cell r="J3747">
            <v>30</v>
          </cell>
          <cell r="L3747">
            <v>0</v>
          </cell>
        </row>
        <row r="3748">
          <cell r="B3748">
            <v>2024</v>
          </cell>
          <cell r="C3748">
            <v>6</v>
          </cell>
          <cell r="E3748" t="str">
            <v>ATL</v>
          </cell>
          <cell r="I3748">
            <v>38</v>
          </cell>
          <cell r="J3748">
            <v>20</v>
          </cell>
          <cell r="L3748">
            <v>0</v>
          </cell>
        </row>
        <row r="3749">
          <cell r="B3749">
            <v>2024</v>
          </cell>
          <cell r="C3749">
            <v>7</v>
          </cell>
          <cell r="E3749" t="str">
            <v>ATL</v>
          </cell>
          <cell r="I3749">
            <v>14</v>
          </cell>
          <cell r="J3749">
            <v>34</v>
          </cell>
          <cell r="L3749">
            <v>0</v>
          </cell>
        </row>
        <row r="3750">
          <cell r="B3750">
            <v>2024</v>
          </cell>
          <cell r="C3750">
            <v>8</v>
          </cell>
          <cell r="E3750" t="str">
            <v>ATL</v>
          </cell>
          <cell r="I3750">
            <v>31</v>
          </cell>
          <cell r="J3750">
            <v>26</v>
          </cell>
          <cell r="L3750">
            <v>0</v>
          </cell>
        </row>
        <row r="3751">
          <cell r="B3751">
            <v>2024</v>
          </cell>
          <cell r="C3751">
            <v>9</v>
          </cell>
          <cell r="E3751" t="str">
            <v>ATL</v>
          </cell>
          <cell r="I3751">
            <v>27</v>
          </cell>
          <cell r="J3751">
            <v>21</v>
          </cell>
          <cell r="L3751">
            <v>0</v>
          </cell>
        </row>
        <row r="3752">
          <cell r="B3752">
            <v>2024</v>
          </cell>
          <cell r="C3752">
            <v>10</v>
          </cell>
          <cell r="E3752" t="str">
            <v>ATL</v>
          </cell>
          <cell r="I3752">
            <v>17</v>
          </cell>
          <cell r="J3752">
            <v>20</v>
          </cell>
          <cell r="L3752">
            <v>0</v>
          </cell>
        </row>
        <row r="3753">
          <cell r="B3753">
            <v>2024</v>
          </cell>
          <cell r="C3753">
            <v>11</v>
          </cell>
          <cell r="E3753" t="str">
            <v>ATL</v>
          </cell>
          <cell r="I3753">
            <v>6</v>
          </cell>
          <cell r="J3753">
            <v>38</v>
          </cell>
          <cell r="L3753">
            <v>0</v>
          </cell>
        </row>
        <row r="3754">
          <cell r="B3754">
            <v>2024</v>
          </cell>
          <cell r="C3754">
            <v>13</v>
          </cell>
          <cell r="E3754" t="str">
            <v>ATL</v>
          </cell>
          <cell r="I3754">
            <v>13</v>
          </cell>
          <cell r="J3754">
            <v>17</v>
          </cell>
          <cell r="L3754">
            <v>0</v>
          </cell>
        </row>
        <row r="3755">
          <cell r="B3755">
            <v>2024</v>
          </cell>
          <cell r="C3755">
            <v>14</v>
          </cell>
          <cell r="E3755" t="str">
            <v>ATL</v>
          </cell>
          <cell r="I3755">
            <v>21</v>
          </cell>
          <cell r="J3755">
            <v>42</v>
          </cell>
          <cell r="L3755">
            <v>0</v>
          </cell>
        </row>
        <row r="3756">
          <cell r="B3756">
            <v>2024</v>
          </cell>
          <cell r="C3756">
            <v>15</v>
          </cell>
          <cell r="E3756" t="str">
            <v>ATL</v>
          </cell>
          <cell r="I3756">
            <v>15</v>
          </cell>
          <cell r="J3756">
            <v>9</v>
          </cell>
          <cell r="L3756">
            <v>0</v>
          </cell>
        </row>
        <row r="3757">
          <cell r="B3757">
            <v>2024</v>
          </cell>
          <cell r="C3757">
            <v>16</v>
          </cell>
          <cell r="E3757" t="str">
            <v>ATL</v>
          </cell>
          <cell r="I3757">
            <v>34</v>
          </cell>
          <cell r="J3757">
            <v>7</v>
          </cell>
          <cell r="L3757">
            <v>0</v>
          </cell>
        </row>
        <row r="3758">
          <cell r="B3758">
            <v>2024</v>
          </cell>
          <cell r="C3758">
            <v>17</v>
          </cell>
          <cell r="E3758" t="str">
            <v>ATL</v>
          </cell>
          <cell r="I3758">
            <v>24</v>
          </cell>
          <cell r="J3758">
            <v>30</v>
          </cell>
          <cell r="L3758">
            <v>0</v>
          </cell>
        </row>
        <row r="3759">
          <cell r="B3759">
            <v>2024</v>
          </cell>
          <cell r="C3759">
            <v>18</v>
          </cell>
          <cell r="E3759" t="str">
            <v>ATL</v>
          </cell>
          <cell r="I3759">
            <v>38</v>
          </cell>
          <cell r="J3759">
            <v>44</v>
          </cell>
          <cell r="L3759">
            <v>0</v>
          </cell>
        </row>
        <row r="3760">
          <cell r="B3760">
            <v>2025</v>
          </cell>
          <cell r="C3760">
            <v>1</v>
          </cell>
          <cell r="E3760" t="str">
            <v>ATL</v>
          </cell>
          <cell r="I3760">
            <v>20</v>
          </cell>
          <cell r="J3760">
            <v>23</v>
          </cell>
          <cell r="L3760">
            <v>0</v>
          </cell>
        </row>
        <row r="3761">
          <cell r="B3761">
            <v>2025</v>
          </cell>
          <cell r="C3761">
            <v>2</v>
          </cell>
          <cell r="E3761" t="str">
            <v>ATL</v>
          </cell>
          <cell r="I3761">
            <v>22</v>
          </cell>
          <cell r="J3761">
            <v>6</v>
          </cell>
          <cell r="L3761">
            <v>0</v>
          </cell>
        </row>
        <row r="3762">
          <cell r="B3762">
            <v>2025</v>
          </cell>
          <cell r="C3762">
            <v>3</v>
          </cell>
          <cell r="E3762" t="str">
            <v>ATL</v>
          </cell>
          <cell r="I3762">
            <v>0</v>
          </cell>
          <cell r="J3762">
            <v>30</v>
          </cell>
          <cell r="L3762">
            <v>0</v>
          </cell>
        </row>
        <row r="3763">
          <cell r="B3763">
            <v>2025</v>
          </cell>
          <cell r="C3763">
            <v>4</v>
          </cell>
          <cell r="E3763" t="str">
            <v>ATL</v>
          </cell>
          <cell r="I3763">
            <v>34</v>
          </cell>
          <cell r="J3763">
            <v>27</v>
          </cell>
          <cell r="L3763">
            <v>0</v>
          </cell>
        </row>
        <row r="3764">
          <cell r="B3764">
            <v>2025</v>
          </cell>
          <cell r="C3764">
            <v>6</v>
          </cell>
          <cell r="E3764" t="str">
            <v>ATL</v>
          </cell>
          <cell r="I3764">
            <v>24</v>
          </cell>
          <cell r="J3764">
            <v>14</v>
          </cell>
          <cell r="L3764">
            <v>0</v>
          </cell>
        </row>
        <row r="3765">
          <cell r="B3765">
            <v>2025</v>
          </cell>
          <cell r="C3765">
            <v>7</v>
          </cell>
          <cell r="E3765" t="str">
            <v>ATL</v>
          </cell>
          <cell r="I3765">
            <v>10</v>
          </cell>
          <cell r="J3765">
            <v>20</v>
          </cell>
          <cell r="L3765">
            <v>0</v>
          </cell>
        </row>
        <row r="3766">
          <cell r="B3766">
            <v>2025</v>
          </cell>
          <cell r="C3766">
            <v>8</v>
          </cell>
          <cell r="E3766" t="str">
            <v>ATL</v>
          </cell>
          <cell r="I3766">
            <v>10</v>
          </cell>
          <cell r="J3766">
            <v>34</v>
          </cell>
          <cell r="L3766">
            <v>0</v>
          </cell>
        </row>
        <row r="3767">
          <cell r="B3767">
            <v>2025</v>
          </cell>
          <cell r="C3767">
            <v>9</v>
          </cell>
          <cell r="E3767" t="str">
            <v>ATL</v>
          </cell>
          <cell r="I3767">
            <v>23</v>
          </cell>
          <cell r="J3767">
            <v>24</v>
          </cell>
          <cell r="L3767">
            <v>0</v>
          </cell>
        </row>
        <row r="3768">
          <cell r="B3768">
            <v>2025</v>
          </cell>
          <cell r="C3768">
            <v>10</v>
          </cell>
          <cell r="E3768" t="str">
            <v>ATL</v>
          </cell>
          <cell r="I3768">
            <v>25</v>
          </cell>
          <cell r="J3768">
            <v>31</v>
          </cell>
          <cell r="L3768">
            <v>0</v>
          </cell>
        </row>
        <row r="3769">
          <cell r="B3769">
            <v>2025</v>
          </cell>
          <cell r="C3769">
            <v>11</v>
          </cell>
          <cell r="E3769" t="str">
            <v>ATL</v>
          </cell>
          <cell r="I3769">
            <v>27</v>
          </cell>
          <cell r="J3769">
            <v>30</v>
          </cell>
          <cell r="L3769">
            <v>0</v>
          </cell>
        </row>
        <row r="3770">
          <cell r="B3770">
            <v>2025</v>
          </cell>
          <cell r="C3770">
            <v>12</v>
          </cell>
          <cell r="E3770" t="str">
            <v>ATL</v>
          </cell>
          <cell r="I3770">
            <v>24</v>
          </cell>
          <cell r="J3770">
            <v>10</v>
          </cell>
          <cell r="L3770">
            <v>0</v>
          </cell>
        </row>
        <row r="3771">
          <cell r="B3771">
            <v>2025</v>
          </cell>
          <cell r="C3771">
            <v>13</v>
          </cell>
          <cell r="E3771" t="str">
            <v>ATL</v>
          </cell>
          <cell r="I3771">
            <v>24</v>
          </cell>
          <cell r="J3771">
            <v>27</v>
          </cell>
          <cell r="L3771">
            <v>0</v>
          </cell>
        </row>
        <row r="3772">
          <cell r="B3772">
            <v>2025</v>
          </cell>
          <cell r="C3772">
            <v>14</v>
          </cell>
          <cell r="E3772" t="str">
            <v>ATL</v>
          </cell>
          <cell r="I3772">
            <v>9</v>
          </cell>
          <cell r="J3772">
            <v>37</v>
          </cell>
          <cell r="L3772">
            <v>0</v>
          </cell>
        </row>
        <row r="3773">
          <cell r="B3773">
            <v>2025</v>
          </cell>
          <cell r="C3773">
            <v>15</v>
          </cell>
          <cell r="E3773" t="str">
            <v>ATL</v>
          </cell>
          <cell r="I3773">
            <v>29</v>
          </cell>
          <cell r="J3773">
            <v>28</v>
          </cell>
          <cell r="L3773">
            <v>0</v>
          </cell>
        </row>
        <row r="3774">
          <cell r="B3774">
            <v>2025</v>
          </cell>
          <cell r="C3774">
            <v>16</v>
          </cell>
          <cell r="E3774" t="str">
            <v>ATL</v>
          </cell>
          <cell r="I3774">
            <v>26</v>
          </cell>
          <cell r="J3774">
            <v>19</v>
          </cell>
          <cell r="L3774">
            <v>0</v>
          </cell>
        </row>
        <row r="3775">
          <cell r="B3775">
            <v>2025</v>
          </cell>
          <cell r="C3775">
            <v>17</v>
          </cell>
          <cell r="E3775" t="str">
            <v>ATL</v>
          </cell>
          <cell r="I3775">
            <v>27</v>
          </cell>
          <cell r="J3775">
            <v>24</v>
          </cell>
          <cell r="L3775">
            <v>0</v>
          </cell>
        </row>
        <row r="3776">
          <cell r="B3776">
            <v>2025</v>
          </cell>
          <cell r="C3776">
            <v>18</v>
          </cell>
          <cell r="E3776" t="str">
            <v>ATL</v>
          </cell>
          <cell r="I3776">
            <v>19</v>
          </cell>
          <cell r="J3776">
            <v>17</v>
          </cell>
          <cell r="L3776">
            <v>0</v>
          </cell>
        </row>
        <row r="3777">
          <cell r="B3777">
            <v>2026</v>
          </cell>
          <cell r="C3777">
            <v>1</v>
          </cell>
          <cell r="E3777" t="str">
            <v>ATL</v>
          </cell>
          <cell r="I3777">
            <v>13</v>
          </cell>
          <cell r="J3777">
            <v>20</v>
          </cell>
          <cell r="L3777">
            <v>0</v>
          </cell>
        </row>
        <row r="3778">
          <cell r="B3778">
            <v>2026</v>
          </cell>
          <cell r="C3778">
            <v>2</v>
          </cell>
          <cell r="E3778" t="str">
            <v>ATL</v>
          </cell>
          <cell r="I3778">
            <v>3</v>
          </cell>
          <cell r="J3778">
            <v>34</v>
          </cell>
          <cell r="L3778">
            <v>0</v>
          </cell>
        </row>
        <row r="3779">
          <cell r="B3779">
            <v>2026</v>
          </cell>
          <cell r="C3779">
            <v>3</v>
          </cell>
          <cell r="E3779" t="str">
            <v>ATL</v>
          </cell>
          <cell r="I3779">
            <v>35</v>
          </cell>
          <cell r="J3779">
            <v>14</v>
          </cell>
          <cell r="L3779">
            <v>0</v>
          </cell>
        </row>
        <row r="3780">
          <cell r="B3780">
            <v>2026</v>
          </cell>
          <cell r="C3780">
            <v>4</v>
          </cell>
          <cell r="E3780" t="str">
            <v>ATL</v>
          </cell>
          <cell r="I3780">
            <v>45</v>
          </cell>
          <cell r="J3780">
            <v>24</v>
          </cell>
          <cell r="L3780">
            <v>0</v>
          </cell>
        </row>
        <row r="3781">
          <cell r="B3781">
            <v>2026</v>
          </cell>
          <cell r="C3781">
            <v>5</v>
          </cell>
          <cell r="E3781" t="str">
            <v>ATL</v>
          </cell>
          <cell r="I3781">
            <v>23</v>
          </cell>
          <cell r="J3781">
            <v>30</v>
          </cell>
          <cell r="L3781">
            <v>0</v>
          </cell>
        </row>
        <row r="3782">
          <cell r="B3782">
            <v>2026</v>
          </cell>
          <cell r="C3782">
            <v>6</v>
          </cell>
          <cell r="E3782" t="str">
            <v>ATL</v>
          </cell>
          <cell r="I3782">
            <v>23</v>
          </cell>
          <cell r="J3782">
            <v>31</v>
          </cell>
          <cell r="L3782">
            <v>0</v>
          </cell>
        </row>
        <row r="3783">
          <cell r="B3783">
            <v>2026</v>
          </cell>
          <cell r="C3783">
            <v>7</v>
          </cell>
          <cell r="E3783" t="str">
            <v>ATL</v>
          </cell>
          <cell r="L3783">
            <v>0</v>
          </cell>
        </row>
        <row r="3784">
          <cell r="B3784">
            <v>2018</v>
          </cell>
          <cell r="C3784">
            <v>1</v>
          </cell>
          <cell r="E3784" t="str">
            <v>TB</v>
          </cell>
          <cell r="I3784">
            <v>48</v>
          </cell>
          <cell r="J3784">
            <v>40</v>
          </cell>
          <cell r="L3784">
            <v>0</v>
          </cell>
        </row>
        <row r="3785">
          <cell r="B3785">
            <v>2018</v>
          </cell>
          <cell r="C3785">
            <v>2</v>
          </cell>
          <cell r="E3785" t="str">
            <v>TB</v>
          </cell>
          <cell r="I3785">
            <v>27</v>
          </cell>
          <cell r="J3785">
            <v>21</v>
          </cell>
          <cell r="L3785">
            <v>0</v>
          </cell>
        </row>
        <row r="3786">
          <cell r="B3786">
            <v>2018</v>
          </cell>
          <cell r="C3786">
            <v>3</v>
          </cell>
          <cell r="E3786" t="str">
            <v>TB</v>
          </cell>
          <cell r="I3786">
            <v>27</v>
          </cell>
          <cell r="J3786">
            <v>30</v>
          </cell>
          <cell r="L3786">
            <v>0</v>
          </cell>
        </row>
        <row r="3787">
          <cell r="B3787">
            <v>2018</v>
          </cell>
          <cell r="C3787">
            <v>4</v>
          </cell>
          <cell r="E3787" t="str">
            <v>TB</v>
          </cell>
          <cell r="I3787">
            <v>10</v>
          </cell>
          <cell r="J3787">
            <v>48</v>
          </cell>
          <cell r="L3787">
            <v>0</v>
          </cell>
        </row>
        <row r="3788">
          <cell r="B3788">
            <v>2018</v>
          </cell>
          <cell r="C3788">
            <v>6</v>
          </cell>
          <cell r="E3788" t="str">
            <v>TB</v>
          </cell>
          <cell r="I3788">
            <v>29</v>
          </cell>
          <cell r="J3788">
            <v>34</v>
          </cell>
          <cell r="L3788">
            <v>0</v>
          </cell>
        </row>
        <row r="3789">
          <cell r="B3789">
            <v>2018</v>
          </cell>
          <cell r="C3789">
            <v>7</v>
          </cell>
          <cell r="E3789" t="str">
            <v>TB</v>
          </cell>
          <cell r="I3789">
            <v>26</v>
          </cell>
          <cell r="J3789">
            <v>23</v>
          </cell>
          <cell r="L3789">
            <v>0</v>
          </cell>
        </row>
        <row r="3790">
          <cell r="B3790">
            <v>2018</v>
          </cell>
          <cell r="C3790">
            <v>8</v>
          </cell>
          <cell r="E3790" t="str">
            <v>TB</v>
          </cell>
          <cell r="I3790">
            <v>34</v>
          </cell>
          <cell r="J3790">
            <v>37</v>
          </cell>
          <cell r="L3790">
            <v>0</v>
          </cell>
        </row>
        <row r="3791">
          <cell r="B3791">
            <v>2018</v>
          </cell>
          <cell r="C3791">
            <v>9</v>
          </cell>
          <cell r="E3791" t="str">
            <v>TB</v>
          </cell>
          <cell r="I3791">
            <v>28</v>
          </cell>
          <cell r="J3791">
            <v>42</v>
          </cell>
          <cell r="L3791">
            <v>0</v>
          </cell>
        </row>
        <row r="3792">
          <cell r="B3792">
            <v>2018</v>
          </cell>
          <cell r="C3792">
            <v>10</v>
          </cell>
          <cell r="E3792" t="str">
            <v>TB</v>
          </cell>
          <cell r="I3792">
            <v>3</v>
          </cell>
          <cell r="J3792">
            <v>16</v>
          </cell>
          <cell r="L3792">
            <v>0</v>
          </cell>
        </row>
        <row r="3793">
          <cell r="B3793">
            <v>2018</v>
          </cell>
          <cell r="C3793">
            <v>11</v>
          </cell>
          <cell r="E3793" t="str">
            <v>TB</v>
          </cell>
          <cell r="I3793">
            <v>35</v>
          </cell>
          <cell r="J3793">
            <v>38</v>
          </cell>
          <cell r="L3793">
            <v>0</v>
          </cell>
        </row>
        <row r="3794">
          <cell r="B3794">
            <v>2018</v>
          </cell>
          <cell r="C3794">
            <v>12</v>
          </cell>
          <cell r="E3794" t="str">
            <v>TB</v>
          </cell>
          <cell r="I3794">
            <v>27</v>
          </cell>
          <cell r="J3794">
            <v>9</v>
          </cell>
          <cell r="L3794">
            <v>0</v>
          </cell>
        </row>
        <row r="3795">
          <cell r="B3795">
            <v>2018</v>
          </cell>
          <cell r="C3795">
            <v>13</v>
          </cell>
          <cell r="E3795" t="str">
            <v>TB</v>
          </cell>
          <cell r="I3795">
            <v>24</v>
          </cell>
          <cell r="J3795">
            <v>17</v>
          </cell>
          <cell r="L3795">
            <v>0</v>
          </cell>
        </row>
        <row r="3796">
          <cell r="B3796">
            <v>2018</v>
          </cell>
          <cell r="C3796">
            <v>14</v>
          </cell>
          <cell r="E3796" t="str">
            <v>TB</v>
          </cell>
          <cell r="I3796">
            <v>14</v>
          </cell>
          <cell r="J3796">
            <v>28</v>
          </cell>
          <cell r="L3796">
            <v>0</v>
          </cell>
        </row>
        <row r="3797">
          <cell r="B3797">
            <v>2018</v>
          </cell>
          <cell r="C3797">
            <v>15</v>
          </cell>
          <cell r="E3797" t="str">
            <v>TB</v>
          </cell>
          <cell r="I3797">
            <v>12</v>
          </cell>
          <cell r="J3797">
            <v>20</v>
          </cell>
          <cell r="L3797">
            <v>0</v>
          </cell>
        </row>
        <row r="3798">
          <cell r="B3798">
            <v>2018</v>
          </cell>
          <cell r="C3798">
            <v>16</v>
          </cell>
          <cell r="E3798" t="str">
            <v>TB</v>
          </cell>
          <cell r="I3798">
            <v>20</v>
          </cell>
          <cell r="J3798">
            <v>27</v>
          </cell>
          <cell r="L3798">
            <v>0</v>
          </cell>
        </row>
        <row r="3799">
          <cell r="B3799">
            <v>2018</v>
          </cell>
          <cell r="C3799">
            <v>17</v>
          </cell>
          <cell r="E3799" t="str">
            <v>TB</v>
          </cell>
          <cell r="I3799">
            <v>32</v>
          </cell>
          <cell r="J3799">
            <v>34</v>
          </cell>
          <cell r="L3799">
            <v>0</v>
          </cell>
        </row>
        <row r="3800">
          <cell r="B3800">
            <v>2019</v>
          </cell>
          <cell r="C3800">
            <v>1</v>
          </cell>
          <cell r="E3800" t="str">
            <v>TB</v>
          </cell>
          <cell r="I3800">
            <v>17</v>
          </cell>
          <cell r="J3800">
            <v>31</v>
          </cell>
          <cell r="L3800">
            <v>0</v>
          </cell>
        </row>
        <row r="3801">
          <cell r="B3801">
            <v>2019</v>
          </cell>
          <cell r="C3801">
            <v>2</v>
          </cell>
          <cell r="E3801" t="str">
            <v>TB</v>
          </cell>
          <cell r="I3801">
            <v>20</v>
          </cell>
          <cell r="J3801">
            <v>14</v>
          </cell>
          <cell r="L3801">
            <v>0</v>
          </cell>
        </row>
        <row r="3802">
          <cell r="B3802">
            <v>2019</v>
          </cell>
          <cell r="C3802">
            <v>3</v>
          </cell>
          <cell r="E3802" t="str">
            <v>TB</v>
          </cell>
          <cell r="I3802">
            <v>31</v>
          </cell>
          <cell r="J3802">
            <v>32</v>
          </cell>
          <cell r="L3802">
            <v>0</v>
          </cell>
        </row>
        <row r="3803">
          <cell r="B3803">
            <v>2019</v>
          </cell>
          <cell r="C3803">
            <v>4</v>
          </cell>
          <cell r="E3803" t="str">
            <v>TB</v>
          </cell>
          <cell r="I3803">
            <v>55</v>
          </cell>
          <cell r="J3803">
            <v>40</v>
          </cell>
          <cell r="L3803">
            <v>0</v>
          </cell>
        </row>
        <row r="3804">
          <cell r="B3804">
            <v>2019</v>
          </cell>
          <cell r="C3804">
            <v>5</v>
          </cell>
          <cell r="E3804" t="str">
            <v>TB</v>
          </cell>
          <cell r="I3804">
            <v>24</v>
          </cell>
          <cell r="J3804">
            <v>31</v>
          </cell>
          <cell r="L3804">
            <v>0</v>
          </cell>
        </row>
        <row r="3805">
          <cell r="B3805">
            <v>2019</v>
          </cell>
          <cell r="C3805">
            <v>6</v>
          </cell>
          <cell r="E3805" t="str">
            <v>TB</v>
          </cell>
          <cell r="I3805">
            <v>26</v>
          </cell>
          <cell r="J3805">
            <v>37</v>
          </cell>
          <cell r="L3805">
            <v>0</v>
          </cell>
        </row>
        <row r="3806">
          <cell r="B3806">
            <v>2019</v>
          </cell>
          <cell r="C3806">
            <v>8</v>
          </cell>
          <cell r="E3806" t="str">
            <v>TB</v>
          </cell>
          <cell r="I3806">
            <v>23</v>
          </cell>
          <cell r="J3806">
            <v>27</v>
          </cell>
          <cell r="L3806">
            <v>0</v>
          </cell>
        </row>
        <row r="3807">
          <cell r="B3807">
            <v>2019</v>
          </cell>
          <cell r="C3807">
            <v>9</v>
          </cell>
          <cell r="E3807" t="str">
            <v>TB</v>
          </cell>
          <cell r="I3807">
            <v>34</v>
          </cell>
          <cell r="J3807">
            <v>40</v>
          </cell>
          <cell r="L3807">
            <v>0</v>
          </cell>
        </row>
        <row r="3808">
          <cell r="B3808">
            <v>2019</v>
          </cell>
          <cell r="C3808">
            <v>10</v>
          </cell>
          <cell r="E3808" t="str">
            <v>TB</v>
          </cell>
          <cell r="I3808">
            <v>30</v>
          </cell>
          <cell r="J3808">
            <v>27</v>
          </cell>
          <cell r="L3808">
            <v>0</v>
          </cell>
        </row>
        <row r="3809">
          <cell r="B3809">
            <v>2019</v>
          </cell>
          <cell r="C3809">
            <v>11</v>
          </cell>
          <cell r="E3809" t="str">
            <v>TB</v>
          </cell>
          <cell r="I3809">
            <v>17</v>
          </cell>
          <cell r="J3809">
            <v>34</v>
          </cell>
          <cell r="L3809">
            <v>0</v>
          </cell>
        </row>
        <row r="3810">
          <cell r="B3810">
            <v>2019</v>
          </cell>
          <cell r="C3810">
            <v>12</v>
          </cell>
          <cell r="E3810" t="str">
            <v>TB</v>
          </cell>
          <cell r="I3810">
            <v>35</v>
          </cell>
          <cell r="J3810">
            <v>22</v>
          </cell>
          <cell r="L3810">
            <v>0</v>
          </cell>
        </row>
        <row r="3811">
          <cell r="B3811">
            <v>2019</v>
          </cell>
          <cell r="C3811">
            <v>13</v>
          </cell>
          <cell r="E3811" t="str">
            <v>TB</v>
          </cell>
          <cell r="I3811">
            <v>28</v>
          </cell>
          <cell r="J3811">
            <v>11</v>
          </cell>
          <cell r="L3811">
            <v>0</v>
          </cell>
        </row>
        <row r="3812">
          <cell r="B3812">
            <v>2019</v>
          </cell>
          <cell r="C3812">
            <v>14</v>
          </cell>
          <cell r="E3812" t="str">
            <v>TB</v>
          </cell>
          <cell r="I3812">
            <v>38</v>
          </cell>
          <cell r="J3812">
            <v>35</v>
          </cell>
          <cell r="L3812">
            <v>0</v>
          </cell>
        </row>
        <row r="3813">
          <cell r="B3813">
            <v>2019</v>
          </cell>
          <cell r="C3813">
            <v>15</v>
          </cell>
          <cell r="E3813" t="str">
            <v>TB</v>
          </cell>
          <cell r="I3813">
            <v>38</v>
          </cell>
          <cell r="J3813">
            <v>17</v>
          </cell>
          <cell r="L3813">
            <v>0</v>
          </cell>
        </row>
        <row r="3814">
          <cell r="B3814">
            <v>2019</v>
          </cell>
          <cell r="C3814">
            <v>16</v>
          </cell>
          <cell r="E3814" t="str">
            <v>TB</v>
          </cell>
          <cell r="I3814">
            <v>20</v>
          </cell>
          <cell r="J3814">
            <v>23</v>
          </cell>
          <cell r="L3814">
            <v>0</v>
          </cell>
        </row>
        <row r="3815">
          <cell r="B3815">
            <v>2019</v>
          </cell>
          <cell r="C3815">
            <v>17</v>
          </cell>
          <cell r="E3815" t="str">
            <v>TB</v>
          </cell>
          <cell r="I3815">
            <v>22</v>
          </cell>
          <cell r="J3815">
            <v>28</v>
          </cell>
          <cell r="L3815">
            <v>0</v>
          </cell>
        </row>
        <row r="3816">
          <cell r="B3816">
            <v>2020</v>
          </cell>
          <cell r="C3816">
            <v>1</v>
          </cell>
          <cell r="E3816" t="str">
            <v>TB</v>
          </cell>
          <cell r="I3816">
            <v>23</v>
          </cell>
          <cell r="J3816">
            <v>34</v>
          </cell>
          <cell r="L3816">
            <v>0</v>
          </cell>
        </row>
        <row r="3817">
          <cell r="B3817">
            <v>2020</v>
          </cell>
          <cell r="C3817">
            <v>2</v>
          </cell>
          <cell r="E3817" t="str">
            <v>TB</v>
          </cell>
          <cell r="I3817">
            <v>31</v>
          </cell>
          <cell r="J3817">
            <v>17</v>
          </cell>
          <cell r="L3817">
            <v>0</v>
          </cell>
        </row>
        <row r="3818">
          <cell r="B3818">
            <v>2020</v>
          </cell>
          <cell r="C3818">
            <v>3</v>
          </cell>
          <cell r="E3818" t="str">
            <v>TB</v>
          </cell>
          <cell r="I3818">
            <v>28</v>
          </cell>
          <cell r="J3818">
            <v>10</v>
          </cell>
          <cell r="L3818">
            <v>0</v>
          </cell>
        </row>
        <row r="3819">
          <cell r="B3819">
            <v>2020</v>
          </cell>
          <cell r="C3819">
            <v>4</v>
          </cell>
          <cell r="E3819" t="str">
            <v>TB</v>
          </cell>
          <cell r="I3819">
            <v>38</v>
          </cell>
          <cell r="J3819">
            <v>31</v>
          </cell>
          <cell r="L3819">
            <v>0</v>
          </cell>
        </row>
        <row r="3820">
          <cell r="B3820">
            <v>2020</v>
          </cell>
          <cell r="C3820">
            <v>5</v>
          </cell>
          <cell r="E3820" t="str">
            <v>TB</v>
          </cell>
          <cell r="I3820">
            <v>19</v>
          </cell>
          <cell r="J3820">
            <v>20</v>
          </cell>
          <cell r="L3820">
            <v>0</v>
          </cell>
        </row>
        <row r="3821">
          <cell r="B3821">
            <v>2020</v>
          </cell>
          <cell r="C3821">
            <v>6</v>
          </cell>
          <cell r="E3821" t="str">
            <v>TB</v>
          </cell>
          <cell r="I3821">
            <v>38</v>
          </cell>
          <cell r="J3821">
            <v>10</v>
          </cell>
          <cell r="L3821">
            <v>0</v>
          </cell>
        </row>
        <row r="3822">
          <cell r="B3822">
            <v>2020</v>
          </cell>
          <cell r="C3822">
            <v>7</v>
          </cell>
          <cell r="E3822" t="str">
            <v>TB</v>
          </cell>
          <cell r="I3822">
            <v>45</v>
          </cell>
          <cell r="J3822">
            <v>20</v>
          </cell>
          <cell r="L3822">
            <v>0</v>
          </cell>
        </row>
        <row r="3823">
          <cell r="B3823">
            <v>2020</v>
          </cell>
          <cell r="C3823">
            <v>8</v>
          </cell>
          <cell r="E3823" t="str">
            <v>TB</v>
          </cell>
          <cell r="I3823">
            <v>25</v>
          </cell>
          <cell r="J3823">
            <v>23</v>
          </cell>
          <cell r="L3823">
            <v>0</v>
          </cell>
        </row>
        <row r="3824">
          <cell r="B3824">
            <v>2020</v>
          </cell>
          <cell r="C3824">
            <v>9</v>
          </cell>
          <cell r="E3824" t="str">
            <v>TB</v>
          </cell>
          <cell r="I3824">
            <v>3</v>
          </cell>
          <cell r="J3824">
            <v>38</v>
          </cell>
          <cell r="L3824">
            <v>0</v>
          </cell>
        </row>
        <row r="3825">
          <cell r="B3825">
            <v>2020</v>
          </cell>
          <cell r="C3825">
            <v>10</v>
          </cell>
          <cell r="E3825" t="str">
            <v>TB</v>
          </cell>
          <cell r="I3825">
            <v>46</v>
          </cell>
          <cell r="J3825">
            <v>23</v>
          </cell>
          <cell r="L3825">
            <v>0</v>
          </cell>
        </row>
        <row r="3826">
          <cell r="B3826">
            <v>2020</v>
          </cell>
          <cell r="C3826">
            <v>11</v>
          </cell>
          <cell r="E3826" t="str">
            <v>TB</v>
          </cell>
          <cell r="I3826">
            <v>24</v>
          </cell>
          <cell r="J3826">
            <v>27</v>
          </cell>
          <cell r="L3826">
            <v>0</v>
          </cell>
        </row>
        <row r="3827">
          <cell r="B3827">
            <v>2020</v>
          </cell>
          <cell r="C3827">
            <v>12</v>
          </cell>
          <cell r="E3827" t="str">
            <v>TB</v>
          </cell>
          <cell r="I3827">
            <v>24</v>
          </cell>
          <cell r="J3827">
            <v>27</v>
          </cell>
          <cell r="L3827">
            <v>0</v>
          </cell>
        </row>
        <row r="3828">
          <cell r="B3828">
            <v>2020</v>
          </cell>
          <cell r="C3828">
            <v>14</v>
          </cell>
          <cell r="E3828" t="str">
            <v>TB</v>
          </cell>
          <cell r="I3828">
            <v>26</v>
          </cell>
          <cell r="J3828">
            <v>14</v>
          </cell>
          <cell r="L3828">
            <v>0</v>
          </cell>
        </row>
        <row r="3829">
          <cell r="B3829">
            <v>2020</v>
          </cell>
          <cell r="C3829">
            <v>15</v>
          </cell>
          <cell r="E3829" t="str">
            <v>TB</v>
          </cell>
          <cell r="I3829">
            <v>31</v>
          </cell>
          <cell r="J3829">
            <v>27</v>
          </cell>
          <cell r="L3829">
            <v>0</v>
          </cell>
        </row>
        <row r="3830">
          <cell r="B3830">
            <v>2020</v>
          </cell>
          <cell r="C3830">
            <v>16</v>
          </cell>
          <cell r="E3830" t="str">
            <v>TB</v>
          </cell>
          <cell r="I3830">
            <v>47</v>
          </cell>
          <cell r="J3830">
            <v>7</v>
          </cell>
          <cell r="L3830">
            <v>0</v>
          </cell>
        </row>
        <row r="3831">
          <cell r="B3831">
            <v>2020</v>
          </cell>
          <cell r="C3831">
            <v>17</v>
          </cell>
          <cell r="E3831" t="str">
            <v>TB</v>
          </cell>
          <cell r="I3831">
            <v>44</v>
          </cell>
          <cell r="J3831">
            <v>27</v>
          </cell>
          <cell r="L3831">
            <v>0</v>
          </cell>
        </row>
        <row r="3832">
          <cell r="B3832">
            <v>2020</v>
          </cell>
          <cell r="C3832">
            <v>1</v>
          </cell>
          <cell r="E3832" t="str">
            <v>TB</v>
          </cell>
          <cell r="I3832">
            <v>31</v>
          </cell>
          <cell r="J3832">
            <v>23</v>
          </cell>
          <cell r="L3832">
            <v>1</v>
          </cell>
        </row>
        <row r="3833">
          <cell r="B3833">
            <v>2020</v>
          </cell>
          <cell r="C3833">
            <v>2</v>
          </cell>
          <cell r="E3833" t="str">
            <v>TB</v>
          </cell>
          <cell r="I3833">
            <v>30</v>
          </cell>
          <cell r="J3833">
            <v>20</v>
          </cell>
          <cell r="L3833">
            <v>1</v>
          </cell>
        </row>
        <row r="3834">
          <cell r="B3834">
            <v>2020</v>
          </cell>
          <cell r="C3834">
            <v>3</v>
          </cell>
          <cell r="E3834" t="str">
            <v>TB</v>
          </cell>
          <cell r="I3834">
            <v>31</v>
          </cell>
          <cell r="J3834">
            <v>26</v>
          </cell>
          <cell r="L3834">
            <v>1</v>
          </cell>
        </row>
        <row r="3835">
          <cell r="B3835">
            <v>2020</v>
          </cell>
          <cell r="C3835">
            <v>5</v>
          </cell>
          <cell r="E3835" t="str">
            <v>TB</v>
          </cell>
          <cell r="I3835">
            <v>31</v>
          </cell>
          <cell r="J3835">
            <v>9</v>
          </cell>
          <cell r="L3835">
            <v>1</v>
          </cell>
        </row>
        <row r="3836">
          <cell r="B3836">
            <v>2021</v>
          </cell>
          <cell r="C3836">
            <v>1</v>
          </cell>
          <cell r="E3836" t="str">
            <v>TB</v>
          </cell>
          <cell r="I3836">
            <v>31</v>
          </cell>
          <cell r="J3836">
            <v>29</v>
          </cell>
          <cell r="L3836">
            <v>0</v>
          </cell>
        </row>
        <row r="3837">
          <cell r="B3837">
            <v>2021</v>
          </cell>
          <cell r="C3837">
            <v>2</v>
          </cell>
          <cell r="E3837" t="str">
            <v>TB</v>
          </cell>
          <cell r="I3837">
            <v>48</v>
          </cell>
          <cell r="J3837">
            <v>25</v>
          </cell>
          <cell r="L3837">
            <v>0</v>
          </cell>
        </row>
        <row r="3838">
          <cell r="B3838">
            <v>2021</v>
          </cell>
          <cell r="C3838">
            <v>3</v>
          </cell>
          <cell r="E3838" t="str">
            <v>TB</v>
          </cell>
          <cell r="I3838">
            <v>24</v>
          </cell>
          <cell r="J3838">
            <v>34</v>
          </cell>
          <cell r="L3838">
            <v>0</v>
          </cell>
        </row>
        <row r="3839">
          <cell r="B3839">
            <v>2021</v>
          </cell>
          <cell r="C3839">
            <v>4</v>
          </cell>
          <cell r="E3839" t="str">
            <v>TB</v>
          </cell>
          <cell r="I3839">
            <v>19</v>
          </cell>
          <cell r="J3839">
            <v>17</v>
          </cell>
          <cell r="L3839">
            <v>0</v>
          </cell>
        </row>
        <row r="3840">
          <cell r="B3840">
            <v>2021</v>
          </cell>
          <cell r="C3840">
            <v>5</v>
          </cell>
          <cell r="E3840" t="str">
            <v>TB</v>
          </cell>
          <cell r="I3840">
            <v>45</v>
          </cell>
          <cell r="J3840">
            <v>17</v>
          </cell>
          <cell r="L3840">
            <v>0</v>
          </cell>
        </row>
        <row r="3841">
          <cell r="B3841">
            <v>2021</v>
          </cell>
          <cell r="C3841">
            <v>6</v>
          </cell>
          <cell r="E3841" t="str">
            <v>TB</v>
          </cell>
          <cell r="I3841">
            <v>28</v>
          </cell>
          <cell r="J3841">
            <v>22</v>
          </cell>
          <cell r="L3841">
            <v>0</v>
          </cell>
        </row>
        <row r="3842">
          <cell r="B3842">
            <v>2021</v>
          </cell>
          <cell r="C3842">
            <v>7</v>
          </cell>
          <cell r="E3842" t="str">
            <v>TB</v>
          </cell>
          <cell r="I3842">
            <v>38</v>
          </cell>
          <cell r="J3842">
            <v>3</v>
          </cell>
          <cell r="L3842">
            <v>0</v>
          </cell>
        </row>
        <row r="3843">
          <cell r="B3843">
            <v>2021</v>
          </cell>
          <cell r="C3843">
            <v>8</v>
          </cell>
          <cell r="E3843" t="str">
            <v>TB</v>
          </cell>
          <cell r="I3843">
            <v>27</v>
          </cell>
          <cell r="J3843">
            <v>36</v>
          </cell>
          <cell r="L3843">
            <v>0</v>
          </cell>
        </row>
        <row r="3844">
          <cell r="B3844">
            <v>2021</v>
          </cell>
          <cell r="C3844">
            <v>10</v>
          </cell>
          <cell r="E3844" t="str">
            <v>TB</v>
          </cell>
          <cell r="I3844">
            <v>19</v>
          </cell>
          <cell r="J3844">
            <v>29</v>
          </cell>
          <cell r="L3844">
            <v>0</v>
          </cell>
        </row>
        <row r="3845">
          <cell r="B3845">
            <v>2021</v>
          </cell>
          <cell r="C3845">
            <v>11</v>
          </cell>
          <cell r="E3845" t="str">
            <v>TB</v>
          </cell>
          <cell r="I3845">
            <v>30</v>
          </cell>
          <cell r="J3845">
            <v>10</v>
          </cell>
          <cell r="L3845">
            <v>0</v>
          </cell>
        </row>
        <row r="3846">
          <cell r="B3846">
            <v>2021</v>
          </cell>
          <cell r="C3846">
            <v>12</v>
          </cell>
          <cell r="E3846" t="str">
            <v>TB</v>
          </cell>
          <cell r="I3846">
            <v>38</v>
          </cell>
          <cell r="J3846">
            <v>31</v>
          </cell>
          <cell r="L3846">
            <v>0</v>
          </cell>
        </row>
        <row r="3847">
          <cell r="B3847">
            <v>2021</v>
          </cell>
          <cell r="C3847">
            <v>13</v>
          </cell>
          <cell r="E3847" t="str">
            <v>TB</v>
          </cell>
          <cell r="I3847">
            <v>30</v>
          </cell>
          <cell r="J3847">
            <v>17</v>
          </cell>
          <cell r="L3847">
            <v>0</v>
          </cell>
        </row>
        <row r="3848">
          <cell r="B3848">
            <v>2021</v>
          </cell>
          <cell r="C3848">
            <v>14</v>
          </cell>
          <cell r="E3848" t="str">
            <v>TB</v>
          </cell>
          <cell r="I3848">
            <v>33</v>
          </cell>
          <cell r="J3848">
            <v>27</v>
          </cell>
          <cell r="L3848">
            <v>0</v>
          </cell>
        </row>
        <row r="3849">
          <cell r="B3849">
            <v>2021</v>
          </cell>
          <cell r="C3849">
            <v>15</v>
          </cell>
          <cell r="E3849" t="str">
            <v>TB</v>
          </cell>
          <cell r="I3849">
            <v>0</v>
          </cell>
          <cell r="J3849">
            <v>9</v>
          </cell>
          <cell r="L3849">
            <v>0</v>
          </cell>
        </row>
        <row r="3850">
          <cell r="B3850">
            <v>2021</v>
          </cell>
          <cell r="C3850">
            <v>16</v>
          </cell>
          <cell r="E3850" t="str">
            <v>TB</v>
          </cell>
          <cell r="I3850">
            <v>32</v>
          </cell>
          <cell r="J3850">
            <v>6</v>
          </cell>
          <cell r="L3850">
            <v>0</v>
          </cell>
        </row>
        <row r="3851">
          <cell r="B3851">
            <v>2021</v>
          </cell>
          <cell r="C3851">
            <v>17</v>
          </cell>
          <cell r="E3851" t="str">
            <v>TB</v>
          </cell>
          <cell r="I3851">
            <v>28</v>
          </cell>
          <cell r="J3851">
            <v>24</v>
          </cell>
          <cell r="L3851">
            <v>0</v>
          </cell>
        </row>
        <row r="3852">
          <cell r="B3852">
            <v>2021</v>
          </cell>
          <cell r="C3852">
            <v>18</v>
          </cell>
          <cell r="E3852" t="str">
            <v>TB</v>
          </cell>
          <cell r="I3852">
            <v>41</v>
          </cell>
          <cell r="J3852">
            <v>17</v>
          </cell>
          <cell r="L3852">
            <v>0</v>
          </cell>
        </row>
        <row r="3853">
          <cell r="B3853">
            <v>2021</v>
          </cell>
          <cell r="C3853">
            <v>1</v>
          </cell>
          <cell r="E3853" t="str">
            <v>TB</v>
          </cell>
          <cell r="I3853">
            <v>31</v>
          </cell>
          <cell r="J3853">
            <v>15</v>
          </cell>
          <cell r="L3853">
            <v>1</v>
          </cell>
        </row>
        <row r="3854">
          <cell r="B3854">
            <v>2021</v>
          </cell>
          <cell r="C3854">
            <v>2</v>
          </cell>
          <cell r="E3854" t="str">
            <v>TB</v>
          </cell>
          <cell r="I3854">
            <v>27</v>
          </cell>
          <cell r="J3854">
            <v>30</v>
          </cell>
          <cell r="L3854">
            <v>1</v>
          </cell>
        </row>
        <row r="3855">
          <cell r="B3855">
            <v>2022</v>
          </cell>
          <cell r="C3855">
            <v>1</v>
          </cell>
          <cell r="E3855" t="str">
            <v>TB</v>
          </cell>
          <cell r="I3855">
            <v>19</v>
          </cell>
          <cell r="J3855">
            <v>3</v>
          </cell>
          <cell r="L3855">
            <v>0</v>
          </cell>
        </row>
        <row r="3856">
          <cell r="B3856">
            <v>2022</v>
          </cell>
          <cell r="C3856">
            <v>2</v>
          </cell>
          <cell r="E3856" t="str">
            <v>TB</v>
          </cell>
          <cell r="I3856">
            <v>20</v>
          </cell>
          <cell r="J3856">
            <v>10</v>
          </cell>
          <cell r="L3856">
            <v>0</v>
          </cell>
        </row>
        <row r="3857">
          <cell r="B3857">
            <v>2022</v>
          </cell>
          <cell r="C3857">
            <v>3</v>
          </cell>
          <cell r="E3857" t="str">
            <v>TB</v>
          </cell>
          <cell r="I3857">
            <v>12</v>
          </cell>
          <cell r="J3857">
            <v>14</v>
          </cell>
          <cell r="L3857">
            <v>0</v>
          </cell>
        </row>
        <row r="3858">
          <cell r="B3858">
            <v>2022</v>
          </cell>
          <cell r="C3858">
            <v>4</v>
          </cell>
          <cell r="E3858" t="str">
            <v>TB</v>
          </cell>
          <cell r="I3858">
            <v>31</v>
          </cell>
          <cell r="J3858">
            <v>41</v>
          </cell>
          <cell r="L3858">
            <v>0</v>
          </cell>
        </row>
        <row r="3859">
          <cell r="B3859">
            <v>2022</v>
          </cell>
          <cell r="C3859">
            <v>5</v>
          </cell>
          <cell r="E3859" t="str">
            <v>TB</v>
          </cell>
          <cell r="I3859">
            <v>21</v>
          </cell>
          <cell r="J3859">
            <v>15</v>
          </cell>
          <cell r="L3859">
            <v>0</v>
          </cell>
        </row>
        <row r="3860">
          <cell r="B3860">
            <v>2022</v>
          </cell>
          <cell r="C3860">
            <v>6</v>
          </cell>
          <cell r="E3860" t="str">
            <v>TB</v>
          </cell>
          <cell r="I3860">
            <v>18</v>
          </cell>
          <cell r="J3860">
            <v>20</v>
          </cell>
          <cell r="L3860">
            <v>0</v>
          </cell>
        </row>
        <row r="3861">
          <cell r="B3861">
            <v>2022</v>
          </cell>
          <cell r="C3861">
            <v>7</v>
          </cell>
          <cell r="E3861" t="str">
            <v>TB</v>
          </cell>
          <cell r="I3861">
            <v>3</v>
          </cell>
          <cell r="J3861">
            <v>21</v>
          </cell>
          <cell r="L3861">
            <v>0</v>
          </cell>
        </row>
        <row r="3862">
          <cell r="B3862">
            <v>2022</v>
          </cell>
          <cell r="C3862">
            <v>8</v>
          </cell>
          <cell r="E3862" t="str">
            <v>TB</v>
          </cell>
          <cell r="I3862">
            <v>22</v>
          </cell>
          <cell r="J3862">
            <v>27</v>
          </cell>
          <cell r="L3862">
            <v>0</v>
          </cell>
        </row>
        <row r="3863">
          <cell r="B3863">
            <v>2022</v>
          </cell>
          <cell r="C3863">
            <v>9</v>
          </cell>
          <cell r="E3863" t="str">
            <v>TB</v>
          </cell>
          <cell r="I3863">
            <v>16</v>
          </cell>
          <cell r="J3863">
            <v>13</v>
          </cell>
          <cell r="L3863">
            <v>0</v>
          </cell>
        </row>
        <row r="3864">
          <cell r="B3864">
            <v>2022</v>
          </cell>
          <cell r="C3864">
            <v>10</v>
          </cell>
          <cell r="E3864" t="str">
            <v>TB</v>
          </cell>
          <cell r="I3864">
            <v>21</v>
          </cell>
          <cell r="J3864">
            <v>16</v>
          </cell>
          <cell r="L3864">
            <v>0</v>
          </cell>
        </row>
        <row r="3865">
          <cell r="B3865">
            <v>2022</v>
          </cell>
          <cell r="C3865">
            <v>12</v>
          </cell>
          <cell r="E3865" t="str">
            <v>TB</v>
          </cell>
          <cell r="I3865">
            <v>17</v>
          </cell>
          <cell r="J3865">
            <v>23</v>
          </cell>
          <cell r="L3865">
            <v>0</v>
          </cell>
        </row>
        <row r="3866">
          <cell r="B3866">
            <v>2022</v>
          </cell>
          <cell r="C3866">
            <v>13</v>
          </cell>
          <cell r="E3866" t="str">
            <v>TB</v>
          </cell>
          <cell r="I3866">
            <v>17</v>
          </cell>
          <cell r="J3866">
            <v>16</v>
          </cell>
          <cell r="L3866">
            <v>0</v>
          </cell>
        </row>
        <row r="3867">
          <cell r="B3867">
            <v>2022</v>
          </cell>
          <cell r="C3867">
            <v>14</v>
          </cell>
          <cell r="E3867" t="str">
            <v>TB</v>
          </cell>
          <cell r="I3867">
            <v>7</v>
          </cell>
          <cell r="J3867">
            <v>35</v>
          </cell>
          <cell r="L3867">
            <v>0</v>
          </cell>
        </row>
        <row r="3868">
          <cell r="B3868">
            <v>2022</v>
          </cell>
          <cell r="C3868">
            <v>15</v>
          </cell>
          <cell r="E3868" t="str">
            <v>TB</v>
          </cell>
          <cell r="I3868">
            <v>23</v>
          </cell>
          <cell r="J3868">
            <v>34</v>
          </cell>
          <cell r="L3868">
            <v>0</v>
          </cell>
        </row>
        <row r="3869">
          <cell r="B3869">
            <v>2022</v>
          </cell>
          <cell r="C3869">
            <v>16</v>
          </cell>
          <cell r="E3869" t="str">
            <v>TB</v>
          </cell>
          <cell r="I3869">
            <v>19</v>
          </cell>
          <cell r="J3869">
            <v>16</v>
          </cell>
          <cell r="L3869">
            <v>0</v>
          </cell>
        </row>
        <row r="3870">
          <cell r="B3870">
            <v>2022</v>
          </cell>
          <cell r="C3870">
            <v>17</v>
          </cell>
          <cell r="E3870" t="str">
            <v>TB</v>
          </cell>
          <cell r="I3870">
            <v>30</v>
          </cell>
          <cell r="J3870">
            <v>24</v>
          </cell>
          <cell r="L3870">
            <v>0</v>
          </cell>
        </row>
        <row r="3871">
          <cell r="B3871">
            <v>2022</v>
          </cell>
          <cell r="C3871">
            <v>18</v>
          </cell>
          <cell r="E3871" t="str">
            <v>TB</v>
          </cell>
          <cell r="I3871">
            <v>17</v>
          </cell>
          <cell r="J3871">
            <v>30</v>
          </cell>
          <cell r="L3871">
            <v>0</v>
          </cell>
        </row>
        <row r="3872">
          <cell r="B3872">
            <v>2022</v>
          </cell>
          <cell r="C3872">
            <v>1</v>
          </cell>
          <cell r="E3872" t="str">
            <v>TB</v>
          </cell>
          <cell r="I3872">
            <v>14</v>
          </cell>
          <cell r="J3872">
            <v>31</v>
          </cell>
          <cell r="L3872">
            <v>1</v>
          </cell>
        </row>
        <row r="3873">
          <cell r="B3873">
            <v>2023</v>
          </cell>
          <cell r="C3873">
            <v>1</v>
          </cell>
          <cell r="E3873" t="str">
            <v>TB</v>
          </cell>
          <cell r="I3873">
            <v>20</v>
          </cell>
          <cell r="J3873">
            <v>17</v>
          </cell>
          <cell r="L3873">
            <v>0</v>
          </cell>
        </row>
        <row r="3874">
          <cell r="B3874">
            <v>2023</v>
          </cell>
          <cell r="C3874">
            <v>2</v>
          </cell>
          <cell r="E3874" t="str">
            <v>TB</v>
          </cell>
          <cell r="I3874">
            <v>27</v>
          </cell>
          <cell r="J3874">
            <v>17</v>
          </cell>
          <cell r="L3874">
            <v>0</v>
          </cell>
        </row>
        <row r="3875">
          <cell r="B3875">
            <v>2023</v>
          </cell>
          <cell r="C3875">
            <v>3</v>
          </cell>
          <cell r="E3875" t="str">
            <v>TB</v>
          </cell>
          <cell r="I3875">
            <v>11</v>
          </cell>
          <cell r="J3875">
            <v>25</v>
          </cell>
          <cell r="L3875">
            <v>0</v>
          </cell>
        </row>
        <row r="3876">
          <cell r="B3876">
            <v>2023</v>
          </cell>
          <cell r="C3876">
            <v>4</v>
          </cell>
          <cell r="E3876" t="str">
            <v>TB</v>
          </cell>
          <cell r="I3876">
            <v>26</v>
          </cell>
          <cell r="J3876">
            <v>9</v>
          </cell>
          <cell r="L3876">
            <v>0</v>
          </cell>
        </row>
        <row r="3877">
          <cell r="B3877">
            <v>2023</v>
          </cell>
          <cell r="C3877">
            <v>6</v>
          </cell>
          <cell r="E3877" t="str">
            <v>TB</v>
          </cell>
          <cell r="I3877">
            <v>6</v>
          </cell>
          <cell r="J3877">
            <v>20</v>
          </cell>
          <cell r="L3877">
            <v>0</v>
          </cell>
        </row>
        <row r="3878">
          <cell r="B3878">
            <v>2023</v>
          </cell>
          <cell r="C3878">
            <v>7</v>
          </cell>
          <cell r="E3878" t="str">
            <v>TB</v>
          </cell>
          <cell r="I3878">
            <v>13</v>
          </cell>
          <cell r="J3878">
            <v>16</v>
          </cell>
          <cell r="L3878">
            <v>0</v>
          </cell>
        </row>
        <row r="3879">
          <cell r="B3879">
            <v>2023</v>
          </cell>
          <cell r="C3879">
            <v>8</v>
          </cell>
          <cell r="E3879" t="str">
            <v>TB</v>
          </cell>
          <cell r="I3879">
            <v>18</v>
          </cell>
          <cell r="J3879">
            <v>24</v>
          </cell>
          <cell r="L3879">
            <v>0</v>
          </cell>
        </row>
        <row r="3880">
          <cell r="B3880">
            <v>2023</v>
          </cell>
          <cell r="C3880">
            <v>9</v>
          </cell>
          <cell r="E3880" t="str">
            <v>TB</v>
          </cell>
          <cell r="I3880">
            <v>37</v>
          </cell>
          <cell r="J3880">
            <v>39</v>
          </cell>
          <cell r="L3880">
            <v>0</v>
          </cell>
        </row>
        <row r="3881">
          <cell r="B3881">
            <v>2023</v>
          </cell>
          <cell r="C3881">
            <v>10</v>
          </cell>
          <cell r="E3881" t="str">
            <v>TB</v>
          </cell>
          <cell r="I3881">
            <v>20</v>
          </cell>
          <cell r="J3881">
            <v>6</v>
          </cell>
          <cell r="L3881">
            <v>0</v>
          </cell>
        </row>
        <row r="3882">
          <cell r="B3882">
            <v>2023</v>
          </cell>
          <cell r="C3882">
            <v>11</v>
          </cell>
          <cell r="E3882" t="str">
            <v>TB</v>
          </cell>
          <cell r="I3882">
            <v>14</v>
          </cell>
          <cell r="J3882">
            <v>27</v>
          </cell>
          <cell r="L3882">
            <v>0</v>
          </cell>
        </row>
        <row r="3883">
          <cell r="B3883">
            <v>2023</v>
          </cell>
          <cell r="C3883">
            <v>12</v>
          </cell>
          <cell r="E3883" t="str">
            <v>TB</v>
          </cell>
          <cell r="I3883">
            <v>20</v>
          </cell>
          <cell r="J3883">
            <v>27</v>
          </cell>
          <cell r="L3883">
            <v>0</v>
          </cell>
        </row>
        <row r="3884">
          <cell r="B3884">
            <v>2023</v>
          </cell>
          <cell r="C3884">
            <v>13</v>
          </cell>
          <cell r="E3884" t="str">
            <v>TB</v>
          </cell>
          <cell r="I3884">
            <v>21</v>
          </cell>
          <cell r="J3884">
            <v>18</v>
          </cell>
          <cell r="L3884">
            <v>0</v>
          </cell>
        </row>
        <row r="3885">
          <cell r="B3885">
            <v>2023</v>
          </cell>
          <cell r="C3885">
            <v>14</v>
          </cell>
          <cell r="E3885" t="str">
            <v>TB</v>
          </cell>
          <cell r="I3885">
            <v>29</v>
          </cell>
          <cell r="J3885">
            <v>25</v>
          </cell>
          <cell r="L3885">
            <v>0</v>
          </cell>
        </row>
        <row r="3886">
          <cell r="B3886">
            <v>2023</v>
          </cell>
          <cell r="C3886">
            <v>15</v>
          </cell>
          <cell r="E3886" t="str">
            <v>TB</v>
          </cell>
          <cell r="I3886">
            <v>34</v>
          </cell>
          <cell r="J3886">
            <v>20</v>
          </cell>
          <cell r="L3886">
            <v>0</v>
          </cell>
        </row>
        <row r="3887">
          <cell r="B3887">
            <v>2023</v>
          </cell>
          <cell r="C3887">
            <v>16</v>
          </cell>
          <cell r="E3887" t="str">
            <v>TB</v>
          </cell>
          <cell r="I3887">
            <v>30</v>
          </cell>
          <cell r="J3887">
            <v>12</v>
          </cell>
          <cell r="L3887">
            <v>0</v>
          </cell>
        </row>
        <row r="3888">
          <cell r="B3888">
            <v>2023</v>
          </cell>
          <cell r="C3888">
            <v>17</v>
          </cell>
          <cell r="E3888" t="str">
            <v>TB</v>
          </cell>
          <cell r="I3888">
            <v>13</v>
          </cell>
          <cell r="J3888">
            <v>23</v>
          </cell>
          <cell r="L3888">
            <v>0</v>
          </cell>
        </row>
        <row r="3889">
          <cell r="B3889">
            <v>2023</v>
          </cell>
          <cell r="C3889">
            <v>18</v>
          </cell>
          <cell r="E3889" t="str">
            <v>TB</v>
          </cell>
          <cell r="I3889">
            <v>9</v>
          </cell>
          <cell r="J3889">
            <v>0</v>
          </cell>
          <cell r="L3889">
            <v>0</v>
          </cell>
        </row>
        <row r="3890">
          <cell r="B3890">
            <v>2023</v>
          </cell>
          <cell r="C3890">
            <v>1</v>
          </cell>
          <cell r="E3890" t="str">
            <v>TB</v>
          </cell>
          <cell r="I3890">
            <v>32</v>
          </cell>
          <cell r="J3890">
            <v>9</v>
          </cell>
          <cell r="L3890">
            <v>1</v>
          </cell>
        </row>
        <row r="3891">
          <cell r="B3891">
            <v>2023</v>
          </cell>
          <cell r="C3891">
            <v>2</v>
          </cell>
          <cell r="E3891" t="str">
            <v>TB</v>
          </cell>
          <cell r="I3891">
            <v>23</v>
          </cell>
          <cell r="J3891">
            <v>31</v>
          </cell>
          <cell r="L3891">
            <v>1</v>
          </cell>
        </row>
        <row r="3892">
          <cell r="B3892">
            <v>2024</v>
          </cell>
          <cell r="C3892">
            <v>1</v>
          </cell>
          <cell r="E3892" t="str">
            <v>TB</v>
          </cell>
          <cell r="I3892">
            <v>37</v>
          </cell>
          <cell r="J3892">
            <v>20</v>
          </cell>
          <cell r="L3892">
            <v>0</v>
          </cell>
        </row>
        <row r="3893">
          <cell r="B3893">
            <v>2024</v>
          </cell>
          <cell r="C3893">
            <v>2</v>
          </cell>
          <cell r="E3893" t="str">
            <v>TB</v>
          </cell>
          <cell r="I3893">
            <v>20</v>
          </cell>
          <cell r="J3893">
            <v>16</v>
          </cell>
          <cell r="L3893">
            <v>0</v>
          </cell>
        </row>
        <row r="3894">
          <cell r="B3894">
            <v>2024</v>
          </cell>
          <cell r="C3894">
            <v>3</v>
          </cell>
          <cell r="E3894" t="str">
            <v>TB</v>
          </cell>
          <cell r="I3894">
            <v>7</v>
          </cell>
          <cell r="J3894">
            <v>26</v>
          </cell>
          <cell r="L3894">
            <v>0</v>
          </cell>
        </row>
        <row r="3895">
          <cell r="B3895">
            <v>2024</v>
          </cell>
          <cell r="C3895">
            <v>4</v>
          </cell>
          <cell r="E3895" t="str">
            <v>TB</v>
          </cell>
          <cell r="I3895">
            <v>33</v>
          </cell>
          <cell r="J3895">
            <v>16</v>
          </cell>
          <cell r="L3895">
            <v>0</v>
          </cell>
        </row>
        <row r="3896">
          <cell r="B3896">
            <v>2024</v>
          </cell>
          <cell r="C3896">
            <v>5</v>
          </cell>
          <cell r="E3896" t="str">
            <v>TB</v>
          </cell>
          <cell r="I3896">
            <v>30</v>
          </cell>
          <cell r="J3896">
            <v>36</v>
          </cell>
          <cell r="L3896">
            <v>0</v>
          </cell>
        </row>
        <row r="3897">
          <cell r="B3897">
            <v>2024</v>
          </cell>
          <cell r="C3897">
            <v>6</v>
          </cell>
          <cell r="E3897" t="str">
            <v>TB</v>
          </cell>
          <cell r="I3897">
            <v>51</v>
          </cell>
          <cell r="J3897">
            <v>27</v>
          </cell>
          <cell r="L3897">
            <v>0</v>
          </cell>
        </row>
        <row r="3898">
          <cell r="B3898">
            <v>2024</v>
          </cell>
          <cell r="C3898">
            <v>7</v>
          </cell>
          <cell r="E3898" t="str">
            <v>TB</v>
          </cell>
          <cell r="I3898">
            <v>31</v>
          </cell>
          <cell r="J3898">
            <v>41</v>
          </cell>
          <cell r="L3898">
            <v>0</v>
          </cell>
        </row>
        <row r="3899">
          <cell r="B3899">
            <v>2024</v>
          </cell>
          <cell r="C3899">
            <v>8</v>
          </cell>
          <cell r="E3899" t="str">
            <v>TB</v>
          </cell>
          <cell r="I3899">
            <v>26</v>
          </cell>
          <cell r="J3899">
            <v>31</v>
          </cell>
          <cell r="L3899">
            <v>0</v>
          </cell>
        </row>
        <row r="3900">
          <cell r="B3900">
            <v>2024</v>
          </cell>
          <cell r="C3900">
            <v>9</v>
          </cell>
          <cell r="E3900" t="str">
            <v>TB</v>
          </cell>
          <cell r="I3900">
            <v>24</v>
          </cell>
          <cell r="J3900">
            <v>30</v>
          </cell>
          <cell r="L3900">
            <v>0</v>
          </cell>
        </row>
        <row r="3901">
          <cell r="B3901">
            <v>2024</v>
          </cell>
          <cell r="C3901">
            <v>10</v>
          </cell>
          <cell r="E3901" t="str">
            <v>TB</v>
          </cell>
          <cell r="I3901">
            <v>20</v>
          </cell>
          <cell r="J3901">
            <v>23</v>
          </cell>
          <cell r="L3901">
            <v>0</v>
          </cell>
        </row>
        <row r="3902">
          <cell r="B3902">
            <v>2024</v>
          </cell>
          <cell r="C3902">
            <v>12</v>
          </cell>
          <cell r="E3902" t="str">
            <v>TB</v>
          </cell>
          <cell r="I3902">
            <v>30</v>
          </cell>
          <cell r="J3902">
            <v>7</v>
          </cell>
          <cell r="L3902">
            <v>0</v>
          </cell>
        </row>
        <row r="3903">
          <cell r="B3903">
            <v>2024</v>
          </cell>
          <cell r="C3903">
            <v>13</v>
          </cell>
          <cell r="E3903" t="str">
            <v>TB</v>
          </cell>
          <cell r="I3903">
            <v>26</v>
          </cell>
          <cell r="J3903">
            <v>23</v>
          </cell>
          <cell r="L3903">
            <v>0</v>
          </cell>
        </row>
        <row r="3904">
          <cell r="B3904">
            <v>2024</v>
          </cell>
          <cell r="C3904">
            <v>14</v>
          </cell>
          <cell r="E3904" t="str">
            <v>TB</v>
          </cell>
          <cell r="I3904">
            <v>28</v>
          </cell>
          <cell r="J3904">
            <v>13</v>
          </cell>
          <cell r="L3904">
            <v>0</v>
          </cell>
        </row>
        <row r="3905">
          <cell r="B3905">
            <v>2024</v>
          </cell>
          <cell r="C3905">
            <v>15</v>
          </cell>
          <cell r="E3905" t="str">
            <v>TB</v>
          </cell>
          <cell r="I3905">
            <v>40</v>
          </cell>
          <cell r="J3905">
            <v>17</v>
          </cell>
          <cell r="L3905">
            <v>0</v>
          </cell>
        </row>
        <row r="3906">
          <cell r="B3906">
            <v>2024</v>
          </cell>
          <cell r="C3906">
            <v>16</v>
          </cell>
          <cell r="E3906" t="str">
            <v>TB</v>
          </cell>
          <cell r="I3906">
            <v>24</v>
          </cell>
          <cell r="J3906">
            <v>26</v>
          </cell>
          <cell r="L3906">
            <v>0</v>
          </cell>
        </row>
        <row r="3907">
          <cell r="B3907">
            <v>2024</v>
          </cell>
          <cell r="C3907">
            <v>17</v>
          </cell>
          <cell r="E3907" t="str">
            <v>TB</v>
          </cell>
          <cell r="I3907">
            <v>48</v>
          </cell>
          <cell r="J3907">
            <v>14</v>
          </cell>
          <cell r="L3907">
            <v>0</v>
          </cell>
        </row>
        <row r="3908">
          <cell r="B3908">
            <v>2024</v>
          </cell>
          <cell r="C3908">
            <v>18</v>
          </cell>
          <cell r="E3908" t="str">
            <v>TB</v>
          </cell>
          <cell r="I3908">
            <v>27</v>
          </cell>
          <cell r="J3908">
            <v>19</v>
          </cell>
          <cell r="L3908">
            <v>0</v>
          </cell>
        </row>
        <row r="3909">
          <cell r="B3909">
            <v>2024</v>
          </cell>
          <cell r="C3909">
            <v>1</v>
          </cell>
          <cell r="E3909" t="str">
            <v>TB</v>
          </cell>
          <cell r="I3909">
            <v>20</v>
          </cell>
          <cell r="J3909">
            <v>23</v>
          </cell>
          <cell r="L3909">
            <v>1</v>
          </cell>
        </row>
        <row r="3910">
          <cell r="B3910">
            <v>2025</v>
          </cell>
          <cell r="C3910">
            <v>1</v>
          </cell>
          <cell r="E3910" t="str">
            <v>TB</v>
          </cell>
          <cell r="I3910">
            <v>23</v>
          </cell>
          <cell r="J3910">
            <v>20</v>
          </cell>
          <cell r="L3910">
            <v>0</v>
          </cell>
        </row>
        <row r="3911">
          <cell r="B3911">
            <v>2025</v>
          </cell>
          <cell r="C3911">
            <v>2</v>
          </cell>
          <cell r="E3911" t="str">
            <v>TB</v>
          </cell>
          <cell r="I3911">
            <v>20</v>
          </cell>
          <cell r="J3911">
            <v>19</v>
          </cell>
          <cell r="L3911">
            <v>0</v>
          </cell>
        </row>
        <row r="3912">
          <cell r="B3912">
            <v>2025</v>
          </cell>
          <cell r="C3912">
            <v>3</v>
          </cell>
          <cell r="E3912" t="str">
            <v>TB</v>
          </cell>
          <cell r="I3912">
            <v>29</v>
          </cell>
          <cell r="J3912">
            <v>27</v>
          </cell>
          <cell r="L3912">
            <v>0</v>
          </cell>
        </row>
        <row r="3913">
          <cell r="B3913">
            <v>2025</v>
          </cell>
          <cell r="C3913">
            <v>4</v>
          </cell>
          <cell r="E3913" t="str">
            <v>TB</v>
          </cell>
          <cell r="I3913">
            <v>25</v>
          </cell>
          <cell r="J3913">
            <v>31</v>
          </cell>
          <cell r="L3913">
            <v>0</v>
          </cell>
        </row>
        <row r="3914">
          <cell r="B3914">
            <v>2025</v>
          </cell>
          <cell r="C3914">
            <v>5</v>
          </cell>
          <cell r="E3914" t="str">
            <v>TB</v>
          </cell>
          <cell r="I3914">
            <v>38</v>
          </cell>
          <cell r="J3914">
            <v>35</v>
          </cell>
          <cell r="L3914">
            <v>0</v>
          </cell>
        </row>
        <row r="3915">
          <cell r="B3915">
            <v>2025</v>
          </cell>
          <cell r="C3915">
            <v>6</v>
          </cell>
          <cell r="E3915" t="str">
            <v>TB</v>
          </cell>
          <cell r="I3915">
            <v>30</v>
          </cell>
          <cell r="J3915">
            <v>19</v>
          </cell>
          <cell r="L3915">
            <v>0</v>
          </cell>
        </row>
        <row r="3916">
          <cell r="B3916">
            <v>2025</v>
          </cell>
          <cell r="C3916">
            <v>7</v>
          </cell>
          <cell r="E3916" t="str">
            <v>TB</v>
          </cell>
          <cell r="I3916">
            <v>9</v>
          </cell>
          <cell r="J3916">
            <v>24</v>
          </cell>
          <cell r="L3916">
            <v>0</v>
          </cell>
        </row>
        <row r="3917">
          <cell r="B3917">
            <v>2025</v>
          </cell>
          <cell r="C3917">
            <v>8</v>
          </cell>
          <cell r="E3917" t="str">
            <v>TB</v>
          </cell>
          <cell r="I3917">
            <v>23</v>
          </cell>
          <cell r="J3917">
            <v>3</v>
          </cell>
          <cell r="L3917">
            <v>0</v>
          </cell>
        </row>
        <row r="3918">
          <cell r="B3918">
            <v>2025</v>
          </cell>
          <cell r="C3918">
            <v>10</v>
          </cell>
          <cell r="E3918" t="str">
            <v>TB</v>
          </cell>
          <cell r="I3918">
            <v>23</v>
          </cell>
          <cell r="J3918">
            <v>28</v>
          </cell>
          <cell r="L3918">
            <v>0</v>
          </cell>
        </row>
        <row r="3919">
          <cell r="B3919">
            <v>2025</v>
          </cell>
          <cell r="C3919">
            <v>11</v>
          </cell>
          <cell r="E3919" t="str">
            <v>TB</v>
          </cell>
          <cell r="I3919">
            <v>32</v>
          </cell>
          <cell r="J3919">
            <v>44</v>
          </cell>
          <cell r="L3919">
            <v>0</v>
          </cell>
        </row>
        <row r="3920">
          <cell r="B3920">
            <v>2025</v>
          </cell>
          <cell r="C3920">
            <v>12</v>
          </cell>
          <cell r="E3920" t="str">
            <v>TB</v>
          </cell>
          <cell r="I3920">
            <v>7</v>
          </cell>
          <cell r="J3920">
            <v>34</v>
          </cell>
          <cell r="L3920">
            <v>0</v>
          </cell>
        </row>
        <row r="3921">
          <cell r="B3921">
            <v>2025</v>
          </cell>
          <cell r="C3921">
            <v>13</v>
          </cell>
          <cell r="E3921" t="str">
            <v>TB</v>
          </cell>
          <cell r="I3921">
            <v>20</v>
          </cell>
          <cell r="J3921">
            <v>17</v>
          </cell>
          <cell r="L3921">
            <v>0</v>
          </cell>
        </row>
        <row r="3922">
          <cell r="B3922">
            <v>2025</v>
          </cell>
          <cell r="C3922">
            <v>14</v>
          </cell>
          <cell r="E3922" t="str">
            <v>TB</v>
          </cell>
          <cell r="I3922">
            <v>20</v>
          </cell>
          <cell r="J3922">
            <v>24</v>
          </cell>
          <cell r="L3922">
            <v>0</v>
          </cell>
        </row>
        <row r="3923">
          <cell r="B3923">
            <v>2025</v>
          </cell>
          <cell r="C3923">
            <v>15</v>
          </cell>
          <cell r="E3923" t="str">
            <v>TB</v>
          </cell>
          <cell r="I3923">
            <v>28</v>
          </cell>
          <cell r="J3923">
            <v>29</v>
          </cell>
          <cell r="L3923">
            <v>0</v>
          </cell>
        </row>
        <row r="3924">
          <cell r="B3924">
            <v>2025</v>
          </cell>
          <cell r="C3924">
            <v>16</v>
          </cell>
          <cell r="E3924" t="str">
            <v>TB</v>
          </cell>
          <cell r="I3924">
            <v>20</v>
          </cell>
          <cell r="J3924">
            <v>23</v>
          </cell>
          <cell r="L3924">
            <v>0</v>
          </cell>
        </row>
        <row r="3925">
          <cell r="B3925">
            <v>2025</v>
          </cell>
          <cell r="C3925">
            <v>17</v>
          </cell>
          <cell r="E3925" t="str">
            <v>TB</v>
          </cell>
          <cell r="I3925">
            <v>17</v>
          </cell>
          <cell r="J3925">
            <v>20</v>
          </cell>
          <cell r="L3925">
            <v>0</v>
          </cell>
        </row>
        <row r="3926">
          <cell r="B3926">
            <v>2025</v>
          </cell>
          <cell r="C3926">
            <v>18</v>
          </cell>
          <cell r="E3926" t="str">
            <v>TB</v>
          </cell>
          <cell r="I3926">
            <v>16</v>
          </cell>
          <cell r="J3926">
            <v>14</v>
          </cell>
          <cell r="L3926">
            <v>0</v>
          </cell>
        </row>
        <row r="3927">
          <cell r="B3927">
            <v>2026</v>
          </cell>
          <cell r="C3927">
            <v>1</v>
          </cell>
          <cell r="E3927" t="str">
            <v>TB</v>
          </cell>
          <cell r="I3927">
            <v>27</v>
          </cell>
          <cell r="J3927">
            <v>33</v>
          </cell>
          <cell r="L3927">
            <v>0</v>
          </cell>
        </row>
        <row r="3928">
          <cell r="B3928">
            <v>2026</v>
          </cell>
          <cell r="C3928">
            <v>2</v>
          </cell>
          <cell r="E3928" t="str">
            <v>TB</v>
          </cell>
          <cell r="I3928">
            <v>19</v>
          </cell>
          <cell r="J3928">
            <v>23</v>
          </cell>
          <cell r="L3928">
            <v>0</v>
          </cell>
        </row>
        <row r="3929">
          <cell r="B3929">
            <v>2026</v>
          </cell>
          <cell r="C3929">
            <v>3</v>
          </cell>
          <cell r="E3929" t="str">
            <v>TB</v>
          </cell>
          <cell r="I3929">
            <v>16</v>
          </cell>
          <cell r="J3929">
            <v>23</v>
          </cell>
          <cell r="L3929">
            <v>0</v>
          </cell>
        </row>
        <row r="3930">
          <cell r="B3930">
            <v>2026</v>
          </cell>
          <cell r="C3930">
            <v>4</v>
          </cell>
          <cell r="E3930" t="str">
            <v>TB</v>
          </cell>
          <cell r="I3930">
            <v>14</v>
          </cell>
          <cell r="J3930">
            <v>17</v>
          </cell>
          <cell r="L3930">
            <v>0</v>
          </cell>
        </row>
        <row r="3931">
          <cell r="B3931">
            <v>2026</v>
          </cell>
          <cell r="C3931">
            <v>5</v>
          </cell>
          <cell r="E3931" t="str">
            <v>TB</v>
          </cell>
          <cell r="I3931">
            <v>24</v>
          </cell>
          <cell r="J3931">
            <v>16</v>
          </cell>
          <cell r="L3931">
            <v>0</v>
          </cell>
        </row>
        <row r="3932">
          <cell r="B3932">
            <v>2026</v>
          </cell>
          <cell r="C3932">
            <v>6</v>
          </cell>
          <cell r="E3932" t="str">
            <v>TB</v>
          </cell>
          <cell r="I3932">
            <v>19</v>
          </cell>
          <cell r="J3932">
            <v>26</v>
          </cell>
          <cell r="L3932">
            <v>0</v>
          </cell>
        </row>
        <row r="3933">
          <cell r="B3933">
            <v>2026</v>
          </cell>
          <cell r="C3933">
            <v>7</v>
          </cell>
          <cell r="E3933" t="str">
            <v>TB</v>
          </cell>
          <cell r="L3933">
            <v>0</v>
          </cell>
        </row>
        <row r="3934">
          <cell r="B3934">
            <v>2018</v>
          </cell>
          <cell r="C3934">
            <v>1</v>
          </cell>
          <cell r="E3934" t="str">
            <v>CAR</v>
          </cell>
          <cell r="I3934">
            <v>16</v>
          </cell>
          <cell r="J3934">
            <v>8</v>
          </cell>
          <cell r="L3934">
            <v>0</v>
          </cell>
        </row>
        <row r="3935">
          <cell r="B3935">
            <v>2018</v>
          </cell>
          <cell r="C3935">
            <v>2</v>
          </cell>
          <cell r="E3935" t="str">
            <v>CAR</v>
          </cell>
          <cell r="I3935">
            <v>24</v>
          </cell>
          <cell r="J3935">
            <v>31</v>
          </cell>
          <cell r="L3935">
            <v>0</v>
          </cell>
        </row>
        <row r="3936">
          <cell r="B3936">
            <v>2018</v>
          </cell>
          <cell r="C3936">
            <v>3</v>
          </cell>
          <cell r="E3936" t="str">
            <v>CAR</v>
          </cell>
          <cell r="I3936">
            <v>31</v>
          </cell>
          <cell r="J3936">
            <v>21</v>
          </cell>
          <cell r="L3936">
            <v>0</v>
          </cell>
        </row>
        <row r="3937">
          <cell r="B3937">
            <v>2018</v>
          </cell>
          <cell r="C3937">
            <v>5</v>
          </cell>
          <cell r="E3937" t="str">
            <v>CAR</v>
          </cell>
          <cell r="I3937">
            <v>33</v>
          </cell>
          <cell r="J3937">
            <v>31</v>
          </cell>
          <cell r="L3937">
            <v>0</v>
          </cell>
        </row>
        <row r="3938">
          <cell r="B3938">
            <v>2018</v>
          </cell>
          <cell r="C3938">
            <v>6</v>
          </cell>
          <cell r="E3938" t="str">
            <v>CAR</v>
          </cell>
          <cell r="I3938">
            <v>17</v>
          </cell>
          <cell r="J3938">
            <v>23</v>
          </cell>
          <cell r="L3938">
            <v>0</v>
          </cell>
        </row>
        <row r="3939">
          <cell r="B3939">
            <v>2018</v>
          </cell>
          <cell r="C3939">
            <v>7</v>
          </cell>
          <cell r="E3939" t="str">
            <v>CAR</v>
          </cell>
          <cell r="I3939">
            <v>21</v>
          </cell>
          <cell r="J3939">
            <v>17</v>
          </cell>
          <cell r="L3939">
            <v>0</v>
          </cell>
        </row>
        <row r="3940">
          <cell r="B3940">
            <v>2018</v>
          </cell>
          <cell r="C3940">
            <v>8</v>
          </cell>
          <cell r="E3940" t="str">
            <v>CAR</v>
          </cell>
          <cell r="I3940">
            <v>36</v>
          </cell>
          <cell r="J3940">
            <v>21</v>
          </cell>
          <cell r="L3940">
            <v>0</v>
          </cell>
        </row>
        <row r="3941">
          <cell r="B3941">
            <v>2018</v>
          </cell>
          <cell r="C3941">
            <v>9</v>
          </cell>
          <cell r="E3941" t="str">
            <v>CAR</v>
          </cell>
          <cell r="I3941">
            <v>42</v>
          </cell>
          <cell r="J3941">
            <v>28</v>
          </cell>
          <cell r="L3941">
            <v>0</v>
          </cell>
        </row>
        <row r="3942">
          <cell r="B3942">
            <v>2018</v>
          </cell>
          <cell r="C3942">
            <v>10</v>
          </cell>
          <cell r="E3942" t="str">
            <v>CAR</v>
          </cell>
          <cell r="I3942">
            <v>21</v>
          </cell>
          <cell r="J3942">
            <v>52</v>
          </cell>
          <cell r="L3942">
            <v>0</v>
          </cell>
        </row>
        <row r="3943">
          <cell r="B3943">
            <v>2018</v>
          </cell>
          <cell r="C3943">
            <v>11</v>
          </cell>
          <cell r="E3943" t="str">
            <v>CAR</v>
          </cell>
          <cell r="I3943">
            <v>19</v>
          </cell>
          <cell r="J3943">
            <v>20</v>
          </cell>
          <cell r="L3943">
            <v>0</v>
          </cell>
        </row>
        <row r="3944">
          <cell r="B3944">
            <v>2018</v>
          </cell>
          <cell r="C3944">
            <v>12</v>
          </cell>
          <cell r="E3944" t="str">
            <v>CAR</v>
          </cell>
          <cell r="I3944">
            <v>27</v>
          </cell>
          <cell r="J3944">
            <v>30</v>
          </cell>
          <cell r="L3944">
            <v>0</v>
          </cell>
        </row>
        <row r="3945">
          <cell r="B3945">
            <v>2018</v>
          </cell>
          <cell r="C3945">
            <v>13</v>
          </cell>
          <cell r="E3945" t="str">
            <v>CAR</v>
          </cell>
          <cell r="I3945">
            <v>17</v>
          </cell>
          <cell r="J3945">
            <v>24</v>
          </cell>
          <cell r="L3945">
            <v>0</v>
          </cell>
        </row>
        <row r="3946">
          <cell r="B3946">
            <v>2018</v>
          </cell>
          <cell r="C3946">
            <v>14</v>
          </cell>
          <cell r="E3946" t="str">
            <v>CAR</v>
          </cell>
          <cell r="I3946">
            <v>20</v>
          </cell>
          <cell r="J3946">
            <v>26</v>
          </cell>
          <cell r="L3946">
            <v>0</v>
          </cell>
        </row>
        <row r="3947">
          <cell r="B3947">
            <v>2018</v>
          </cell>
          <cell r="C3947">
            <v>15</v>
          </cell>
          <cell r="E3947" t="str">
            <v>CAR</v>
          </cell>
          <cell r="I3947">
            <v>9</v>
          </cell>
          <cell r="J3947">
            <v>12</v>
          </cell>
          <cell r="L3947">
            <v>0</v>
          </cell>
        </row>
        <row r="3948">
          <cell r="B3948">
            <v>2018</v>
          </cell>
          <cell r="C3948">
            <v>16</v>
          </cell>
          <cell r="E3948" t="str">
            <v>CAR</v>
          </cell>
          <cell r="I3948">
            <v>10</v>
          </cell>
          <cell r="J3948">
            <v>24</v>
          </cell>
          <cell r="L3948">
            <v>0</v>
          </cell>
        </row>
        <row r="3949">
          <cell r="B3949">
            <v>2018</v>
          </cell>
          <cell r="C3949">
            <v>17</v>
          </cell>
          <cell r="E3949" t="str">
            <v>CAR</v>
          </cell>
          <cell r="I3949">
            <v>33</v>
          </cell>
          <cell r="J3949">
            <v>14</v>
          </cell>
          <cell r="L3949">
            <v>0</v>
          </cell>
        </row>
        <row r="3950">
          <cell r="B3950">
            <v>2019</v>
          </cell>
          <cell r="C3950">
            <v>1</v>
          </cell>
          <cell r="E3950" t="str">
            <v>CAR</v>
          </cell>
          <cell r="I3950">
            <v>27</v>
          </cell>
          <cell r="J3950">
            <v>30</v>
          </cell>
          <cell r="L3950">
            <v>0</v>
          </cell>
        </row>
        <row r="3951">
          <cell r="B3951">
            <v>2019</v>
          </cell>
          <cell r="C3951">
            <v>2</v>
          </cell>
          <cell r="E3951" t="str">
            <v>CAR</v>
          </cell>
          <cell r="I3951">
            <v>14</v>
          </cell>
          <cell r="J3951">
            <v>20</v>
          </cell>
          <cell r="L3951">
            <v>0</v>
          </cell>
        </row>
        <row r="3952">
          <cell r="B3952">
            <v>2019</v>
          </cell>
          <cell r="C3952">
            <v>3</v>
          </cell>
          <cell r="E3952" t="str">
            <v>CAR</v>
          </cell>
          <cell r="I3952">
            <v>38</v>
          </cell>
          <cell r="J3952">
            <v>20</v>
          </cell>
          <cell r="L3952">
            <v>0</v>
          </cell>
        </row>
        <row r="3953">
          <cell r="B3953">
            <v>2019</v>
          </cell>
          <cell r="C3953">
            <v>4</v>
          </cell>
          <cell r="E3953" t="str">
            <v>CAR</v>
          </cell>
          <cell r="I3953">
            <v>16</v>
          </cell>
          <cell r="J3953">
            <v>10</v>
          </cell>
          <cell r="L3953">
            <v>0</v>
          </cell>
        </row>
        <row r="3954">
          <cell r="B3954">
            <v>2019</v>
          </cell>
          <cell r="C3954">
            <v>5</v>
          </cell>
          <cell r="E3954" t="str">
            <v>CAR</v>
          </cell>
          <cell r="I3954">
            <v>34</v>
          </cell>
          <cell r="J3954">
            <v>27</v>
          </cell>
          <cell r="L3954">
            <v>0</v>
          </cell>
        </row>
        <row r="3955">
          <cell r="B3955">
            <v>2019</v>
          </cell>
          <cell r="C3955">
            <v>6</v>
          </cell>
          <cell r="E3955" t="str">
            <v>CAR</v>
          </cell>
          <cell r="I3955">
            <v>37</v>
          </cell>
          <cell r="J3955">
            <v>26</v>
          </cell>
          <cell r="L3955">
            <v>0</v>
          </cell>
        </row>
        <row r="3956">
          <cell r="B3956">
            <v>2019</v>
          </cell>
          <cell r="C3956">
            <v>8</v>
          </cell>
          <cell r="E3956" t="str">
            <v>CAR</v>
          </cell>
          <cell r="I3956">
            <v>13</v>
          </cell>
          <cell r="J3956">
            <v>51</v>
          </cell>
          <cell r="L3956">
            <v>0</v>
          </cell>
        </row>
        <row r="3957">
          <cell r="B3957">
            <v>2019</v>
          </cell>
          <cell r="C3957">
            <v>9</v>
          </cell>
          <cell r="E3957" t="str">
            <v>CAR</v>
          </cell>
          <cell r="I3957">
            <v>30</v>
          </cell>
          <cell r="J3957">
            <v>20</v>
          </cell>
          <cell r="L3957">
            <v>0</v>
          </cell>
        </row>
        <row r="3958">
          <cell r="B3958">
            <v>2019</v>
          </cell>
          <cell r="C3958">
            <v>10</v>
          </cell>
          <cell r="E3958" t="str">
            <v>CAR</v>
          </cell>
          <cell r="I3958">
            <v>16</v>
          </cell>
          <cell r="J3958">
            <v>24</v>
          </cell>
          <cell r="L3958">
            <v>0</v>
          </cell>
        </row>
        <row r="3959">
          <cell r="B3959">
            <v>2019</v>
          </cell>
          <cell r="C3959">
            <v>11</v>
          </cell>
          <cell r="E3959" t="str">
            <v>CAR</v>
          </cell>
          <cell r="I3959">
            <v>3</v>
          </cell>
          <cell r="J3959">
            <v>29</v>
          </cell>
          <cell r="L3959">
            <v>0</v>
          </cell>
        </row>
        <row r="3960">
          <cell r="B3960">
            <v>2019</v>
          </cell>
          <cell r="C3960">
            <v>12</v>
          </cell>
          <cell r="E3960" t="str">
            <v>CAR</v>
          </cell>
          <cell r="I3960">
            <v>31</v>
          </cell>
          <cell r="J3960">
            <v>34</v>
          </cell>
          <cell r="L3960">
            <v>0</v>
          </cell>
        </row>
        <row r="3961">
          <cell r="B3961">
            <v>2019</v>
          </cell>
          <cell r="C3961">
            <v>13</v>
          </cell>
          <cell r="E3961" t="str">
            <v>CAR</v>
          </cell>
          <cell r="I3961">
            <v>21</v>
          </cell>
          <cell r="J3961">
            <v>29</v>
          </cell>
          <cell r="L3961">
            <v>0</v>
          </cell>
        </row>
        <row r="3962">
          <cell r="B3962">
            <v>2019</v>
          </cell>
          <cell r="C3962">
            <v>14</v>
          </cell>
          <cell r="E3962" t="str">
            <v>CAR</v>
          </cell>
          <cell r="I3962">
            <v>20</v>
          </cell>
          <cell r="J3962">
            <v>40</v>
          </cell>
          <cell r="L3962">
            <v>0</v>
          </cell>
        </row>
        <row r="3963">
          <cell r="B3963">
            <v>2019</v>
          </cell>
          <cell r="C3963">
            <v>15</v>
          </cell>
          <cell r="E3963" t="str">
            <v>CAR</v>
          </cell>
          <cell r="I3963">
            <v>24</v>
          </cell>
          <cell r="J3963">
            <v>30</v>
          </cell>
          <cell r="L3963">
            <v>0</v>
          </cell>
        </row>
        <row r="3964">
          <cell r="B3964">
            <v>2019</v>
          </cell>
          <cell r="C3964">
            <v>16</v>
          </cell>
          <cell r="E3964" t="str">
            <v>CAR</v>
          </cell>
          <cell r="I3964">
            <v>6</v>
          </cell>
          <cell r="J3964">
            <v>38</v>
          </cell>
          <cell r="L3964">
            <v>0</v>
          </cell>
        </row>
        <row r="3965">
          <cell r="B3965">
            <v>2019</v>
          </cell>
          <cell r="C3965">
            <v>17</v>
          </cell>
          <cell r="E3965" t="str">
            <v>CAR</v>
          </cell>
          <cell r="I3965">
            <v>10</v>
          </cell>
          <cell r="J3965">
            <v>42</v>
          </cell>
          <cell r="L3965">
            <v>0</v>
          </cell>
        </row>
        <row r="3966">
          <cell r="B3966">
            <v>2020</v>
          </cell>
          <cell r="C3966">
            <v>1</v>
          </cell>
          <cell r="E3966" t="str">
            <v>CAR</v>
          </cell>
          <cell r="I3966">
            <v>30</v>
          </cell>
          <cell r="J3966">
            <v>34</v>
          </cell>
          <cell r="L3966">
            <v>0</v>
          </cell>
        </row>
        <row r="3967">
          <cell r="B3967">
            <v>2020</v>
          </cell>
          <cell r="C3967">
            <v>2</v>
          </cell>
          <cell r="E3967" t="str">
            <v>CAR</v>
          </cell>
          <cell r="I3967">
            <v>17</v>
          </cell>
          <cell r="J3967">
            <v>31</v>
          </cell>
          <cell r="L3967">
            <v>0</v>
          </cell>
        </row>
        <row r="3968">
          <cell r="B3968">
            <v>2020</v>
          </cell>
          <cell r="C3968">
            <v>3</v>
          </cell>
          <cell r="E3968" t="str">
            <v>CAR</v>
          </cell>
          <cell r="I3968">
            <v>21</v>
          </cell>
          <cell r="J3968">
            <v>16</v>
          </cell>
          <cell r="L3968">
            <v>0</v>
          </cell>
        </row>
        <row r="3969">
          <cell r="B3969">
            <v>2020</v>
          </cell>
          <cell r="C3969">
            <v>4</v>
          </cell>
          <cell r="E3969" t="str">
            <v>CAR</v>
          </cell>
          <cell r="I3969">
            <v>31</v>
          </cell>
          <cell r="J3969">
            <v>21</v>
          </cell>
          <cell r="L3969">
            <v>0</v>
          </cell>
        </row>
        <row r="3970">
          <cell r="B3970">
            <v>2020</v>
          </cell>
          <cell r="C3970">
            <v>5</v>
          </cell>
          <cell r="E3970" t="str">
            <v>CAR</v>
          </cell>
          <cell r="I3970">
            <v>23</v>
          </cell>
          <cell r="J3970">
            <v>16</v>
          </cell>
          <cell r="L3970">
            <v>0</v>
          </cell>
        </row>
        <row r="3971">
          <cell r="B3971">
            <v>2020</v>
          </cell>
          <cell r="C3971">
            <v>6</v>
          </cell>
          <cell r="E3971" t="str">
            <v>CAR</v>
          </cell>
          <cell r="I3971">
            <v>16</v>
          </cell>
          <cell r="J3971">
            <v>23</v>
          </cell>
          <cell r="L3971">
            <v>0</v>
          </cell>
        </row>
        <row r="3972">
          <cell r="B3972">
            <v>2020</v>
          </cell>
          <cell r="C3972">
            <v>7</v>
          </cell>
          <cell r="E3972" t="str">
            <v>CAR</v>
          </cell>
          <cell r="I3972">
            <v>24</v>
          </cell>
          <cell r="J3972">
            <v>27</v>
          </cell>
          <cell r="L3972">
            <v>0</v>
          </cell>
        </row>
        <row r="3973">
          <cell r="B3973">
            <v>2020</v>
          </cell>
          <cell r="C3973">
            <v>8</v>
          </cell>
          <cell r="E3973" t="str">
            <v>CAR</v>
          </cell>
          <cell r="I3973">
            <v>17</v>
          </cell>
          <cell r="J3973">
            <v>25</v>
          </cell>
          <cell r="L3973">
            <v>0</v>
          </cell>
        </row>
        <row r="3974">
          <cell r="B3974">
            <v>2020</v>
          </cell>
          <cell r="C3974">
            <v>9</v>
          </cell>
          <cell r="E3974" t="str">
            <v>CAR</v>
          </cell>
          <cell r="I3974">
            <v>31</v>
          </cell>
          <cell r="J3974">
            <v>33</v>
          </cell>
          <cell r="L3974">
            <v>0</v>
          </cell>
        </row>
        <row r="3975">
          <cell r="B3975">
            <v>2020</v>
          </cell>
          <cell r="C3975">
            <v>10</v>
          </cell>
          <cell r="E3975" t="str">
            <v>CAR</v>
          </cell>
          <cell r="I3975">
            <v>23</v>
          </cell>
          <cell r="J3975">
            <v>46</v>
          </cell>
          <cell r="L3975">
            <v>0</v>
          </cell>
        </row>
        <row r="3976">
          <cell r="B3976">
            <v>2020</v>
          </cell>
          <cell r="C3976">
            <v>11</v>
          </cell>
          <cell r="E3976" t="str">
            <v>CAR</v>
          </cell>
          <cell r="I3976">
            <v>20</v>
          </cell>
          <cell r="J3976">
            <v>0</v>
          </cell>
          <cell r="L3976">
            <v>0</v>
          </cell>
        </row>
        <row r="3977">
          <cell r="B3977">
            <v>2020</v>
          </cell>
          <cell r="C3977">
            <v>12</v>
          </cell>
          <cell r="E3977" t="str">
            <v>CAR</v>
          </cell>
          <cell r="I3977">
            <v>27</v>
          </cell>
          <cell r="J3977">
            <v>28</v>
          </cell>
          <cell r="L3977">
            <v>0</v>
          </cell>
        </row>
        <row r="3978">
          <cell r="B3978">
            <v>2020</v>
          </cell>
          <cell r="C3978">
            <v>14</v>
          </cell>
          <cell r="E3978" t="str">
            <v>CAR</v>
          </cell>
          <cell r="I3978">
            <v>27</v>
          </cell>
          <cell r="J3978">
            <v>32</v>
          </cell>
          <cell r="L3978">
            <v>0</v>
          </cell>
        </row>
        <row r="3979">
          <cell r="B3979">
            <v>2020</v>
          </cell>
          <cell r="C3979">
            <v>15</v>
          </cell>
          <cell r="E3979" t="str">
            <v>CAR</v>
          </cell>
          <cell r="I3979">
            <v>16</v>
          </cell>
          <cell r="J3979">
            <v>24</v>
          </cell>
          <cell r="L3979">
            <v>0</v>
          </cell>
        </row>
        <row r="3980">
          <cell r="B3980">
            <v>2020</v>
          </cell>
          <cell r="C3980">
            <v>16</v>
          </cell>
          <cell r="E3980" t="str">
            <v>CAR</v>
          </cell>
          <cell r="I3980">
            <v>20</v>
          </cell>
          <cell r="J3980">
            <v>13</v>
          </cell>
          <cell r="L3980">
            <v>0</v>
          </cell>
        </row>
        <row r="3981">
          <cell r="B3981">
            <v>2020</v>
          </cell>
          <cell r="C3981">
            <v>17</v>
          </cell>
          <cell r="E3981" t="str">
            <v>CAR</v>
          </cell>
          <cell r="I3981">
            <v>7</v>
          </cell>
          <cell r="J3981">
            <v>33</v>
          </cell>
          <cell r="L3981">
            <v>0</v>
          </cell>
        </row>
        <row r="3982">
          <cell r="B3982">
            <v>2021</v>
          </cell>
          <cell r="C3982">
            <v>1</v>
          </cell>
          <cell r="E3982" t="str">
            <v>CAR</v>
          </cell>
          <cell r="I3982">
            <v>19</v>
          </cell>
          <cell r="J3982">
            <v>14</v>
          </cell>
          <cell r="L3982">
            <v>0</v>
          </cell>
        </row>
        <row r="3983">
          <cell r="B3983">
            <v>2021</v>
          </cell>
          <cell r="C3983">
            <v>2</v>
          </cell>
          <cell r="E3983" t="str">
            <v>CAR</v>
          </cell>
          <cell r="I3983">
            <v>26</v>
          </cell>
          <cell r="J3983">
            <v>7</v>
          </cell>
          <cell r="L3983">
            <v>0</v>
          </cell>
        </row>
        <row r="3984">
          <cell r="B3984">
            <v>2021</v>
          </cell>
          <cell r="C3984">
            <v>3</v>
          </cell>
          <cell r="E3984" t="str">
            <v>CAR</v>
          </cell>
          <cell r="I3984">
            <v>24</v>
          </cell>
          <cell r="J3984">
            <v>9</v>
          </cell>
          <cell r="L3984">
            <v>0</v>
          </cell>
        </row>
        <row r="3985">
          <cell r="B3985">
            <v>2021</v>
          </cell>
          <cell r="C3985">
            <v>4</v>
          </cell>
          <cell r="E3985" t="str">
            <v>CAR</v>
          </cell>
          <cell r="I3985">
            <v>28</v>
          </cell>
          <cell r="J3985">
            <v>36</v>
          </cell>
          <cell r="L3985">
            <v>0</v>
          </cell>
        </row>
        <row r="3986">
          <cell r="B3986">
            <v>2021</v>
          </cell>
          <cell r="C3986">
            <v>5</v>
          </cell>
          <cell r="E3986" t="str">
            <v>CAR</v>
          </cell>
          <cell r="I3986">
            <v>18</v>
          </cell>
          <cell r="J3986">
            <v>21</v>
          </cell>
          <cell r="L3986">
            <v>0</v>
          </cell>
        </row>
        <row r="3987">
          <cell r="B3987">
            <v>2021</v>
          </cell>
          <cell r="C3987">
            <v>6</v>
          </cell>
          <cell r="E3987" t="str">
            <v>CAR</v>
          </cell>
          <cell r="I3987">
            <v>28</v>
          </cell>
          <cell r="J3987">
            <v>34</v>
          </cell>
          <cell r="L3987">
            <v>0</v>
          </cell>
        </row>
        <row r="3988">
          <cell r="B3988">
            <v>2021</v>
          </cell>
          <cell r="C3988">
            <v>7</v>
          </cell>
          <cell r="E3988" t="str">
            <v>CAR</v>
          </cell>
          <cell r="I3988">
            <v>3</v>
          </cell>
          <cell r="J3988">
            <v>25</v>
          </cell>
          <cell r="L3988">
            <v>0</v>
          </cell>
        </row>
        <row r="3989">
          <cell r="B3989">
            <v>2021</v>
          </cell>
          <cell r="C3989">
            <v>8</v>
          </cell>
          <cell r="E3989" t="str">
            <v>CAR</v>
          </cell>
          <cell r="I3989">
            <v>19</v>
          </cell>
          <cell r="J3989">
            <v>13</v>
          </cell>
          <cell r="L3989">
            <v>0</v>
          </cell>
        </row>
        <row r="3990">
          <cell r="B3990">
            <v>2021</v>
          </cell>
          <cell r="C3990">
            <v>9</v>
          </cell>
          <cell r="E3990" t="str">
            <v>CAR</v>
          </cell>
          <cell r="I3990">
            <v>6</v>
          </cell>
          <cell r="J3990">
            <v>24</v>
          </cell>
          <cell r="L3990">
            <v>0</v>
          </cell>
        </row>
        <row r="3991">
          <cell r="B3991">
            <v>2021</v>
          </cell>
          <cell r="C3991">
            <v>10</v>
          </cell>
          <cell r="E3991" t="str">
            <v>CAR</v>
          </cell>
          <cell r="I3991">
            <v>34</v>
          </cell>
          <cell r="J3991">
            <v>10</v>
          </cell>
          <cell r="L3991">
            <v>0</v>
          </cell>
        </row>
        <row r="3992">
          <cell r="B3992">
            <v>2021</v>
          </cell>
          <cell r="C3992">
            <v>11</v>
          </cell>
          <cell r="E3992" t="str">
            <v>CAR</v>
          </cell>
          <cell r="I3992">
            <v>21</v>
          </cell>
          <cell r="J3992">
            <v>27</v>
          </cell>
          <cell r="L3992">
            <v>0</v>
          </cell>
        </row>
        <row r="3993">
          <cell r="B3993">
            <v>2021</v>
          </cell>
          <cell r="C3993">
            <v>12</v>
          </cell>
          <cell r="E3993" t="str">
            <v>CAR</v>
          </cell>
          <cell r="I3993">
            <v>10</v>
          </cell>
          <cell r="J3993">
            <v>33</v>
          </cell>
          <cell r="L3993">
            <v>0</v>
          </cell>
        </row>
        <row r="3994">
          <cell r="B3994">
            <v>2021</v>
          </cell>
          <cell r="C3994">
            <v>14</v>
          </cell>
          <cell r="E3994" t="str">
            <v>CAR</v>
          </cell>
          <cell r="I3994">
            <v>21</v>
          </cell>
          <cell r="J3994">
            <v>29</v>
          </cell>
          <cell r="L3994">
            <v>0</v>
          </cell>
        </row>
        <row r="3995">
          <cell r="B3995">
            <v>2021</v>
          </cell>
          <cell r="C3995">
            <v>15</v>
          </cell>
          <cell r="E3995" t="str">
            <v>CAR</v>
          </cell>
          <cell r="I3995">
            <v>14</v>
          </cell>
          <cell r="J3995">
            <v>31</v>
          </cell>
          <cell r="L3995">
            <v>0</v>
          </cell>
        </row>
        <row r="3996">
          <cell r="B3996">
            <v>2021</v>
          </cell>
          <cell r="C3996">
            <v>16</v>
          </cell>
          <cell r="E3996" t="str">
            <v>CAR</v>
          </cell>
          <cell r="I3996">
            <v>6</v>
          </cell>
          <cell r="J3996">
            <v>32</v>
          </cell>
          <cell r="L3996">
            <v>0</v>
          </cell>
        </row>
        <row r="3997">
          <cell r="B3997">
            <v>2021</v>
          </cell>
          <cell r="C3997">
            <v>17</v>
          </cell>
          <cell r="E3997" t="str">
            <v>CAR</v>
          </cell>
          <cell r="I3997">
            <v>10</v>
          </cell>
          <cell r="J3997">
            <v>18</v>
          </cell>
          <cell r="L3997">
            <v>0</v>
          </cell>
        </row>
        <row r="3998">
          <cell r="B3998">
            <v>2021</v>
          </cell>
          <cell r="C3998">
            <v>18</v>
          </cell>
          <cell r="E3998" t="str">
            <v>CAR</v>
          </cell>
          <cell r="I3998">
            <v>17</v>
          </cell>
          <cell r="J3998">
            <v>41</v>
          </cell>
          <cell r="L3998">
            <v>0</v>
          </cell>
        </row>
        <row r="3999">
          <cell r="B3999">
            <v>2022</v>
          </cell>
          <cell r="C3999">
            <v>1</v>
          </cell>
          <cell r="E3999" t="str">
            <v>CAR</v>
          </cell>
          <cell r="I3999">
            <v>24</v>
          </cell>
          <cell r="J3999">
            <v>26</v>
          </cell>
          <cell r="L3999">
            <v>0</v>
          </cell>
        </row>
        <row r="4000">
          <cell r="B4000">
            <v>2022</v>
          </cell>
          <cell r="C4000">
            <v>2</v>
          </cell>
          <cell r="E4000" t="str">
            <v>CAR</v>
          </cell>
          <cell r="I4000">
            <v>16</v>
          </cell>
          <cell r="J4000">
            <v>19</v>
          </cell>
          <cell r="L4000">
            <v>0</v>
          </cell>
        </row>
        <row r="4001">
          <cell r="B4001">
            <v>2022</v>
          </cell>
          <cell r="C4001">
            <v>3</v>
          </cell>
          <cell r="E4001" t="str">
            <v>CAR</v>
          </cell>
          <cell r="I4001">
            <v>22</v>
          </cell>
          <cell r="J4001">
            <v>14</v>
          </cell>
          <cell r="L4001">
            <v>0</v>
          </cell>
        </row>
        <row r="4002">
          <cell r="B4002">
            <v>2022</v>
          </cell>
          <cell r="C4002">
            <v>4</v>
          </cell>
          <cell r="E4002" t="str">
            <v>CAR</v>
          </cell>
          <cell r="I4002">
            <v>16</v>
          </cell>
          <cell r="J4002">
            <v>26</v>
          </cell>
          <cell r="L4002">
            <v>0</v>
          </cell>
        </row>
        <row r="4003">
          <cell r="B4003">
            <v>2022</v>
          </cell>
          <cell r="C4003">
            <v>5</v>
          </cell>
          <cell r="E4003" t="str">
            <v>CAR</v>
          </cell>
          <cell r="I4003">
            <v>15</v>
          </cell>
          <cell r="J4003">
            <v>37</v>
          </cell>
          <cell r="L4003">
            <v>0</v>
          </cell>
        </row>
        <row r="4004">
          <cell r="B4004">
            <v>2022</v>
          </cell>
          <cell r="C4004">
            <v>6</v>
          </cell>
          <cell r="E4004" t="str">
            <v>CAR</v>
          </cell>
          <cell r="I4004">
            <v>10</v>
          </cell>
          <cell r="J4004">
            <v>24</v>
          </cell>
          <cell r="L4004">
            <v>0</v>
          </cell>
        </row>
        <row r="4005">
          <cell r="B4005">
            <v>2022</v>
          </cell>
          <cell r="C4005">
            <v>7</v>
          </cell>
          <cell r="E4005" t="str">
            <v>CAR</v>
          </cell>
          <cell r="I4005">
            <v>21</v>
          </cell>
          <cell r="J4005">
            <v>3</v>
          </cell>
          <cell r="L4005">
            <v>0</v>
          </cell>
        </row>
        <row r="4006">
          <cell r="B4006">
            <v>2022</v>
          </cell>
          <cell r="C4006">
            <v>8</v>
          </cell>
          <cell r="E4006" t="str">
            <v>CAR</v>
          </cell>
          <cell r="I4006">
            <v>34</v>
          </cell>
          <cell r="J4006">
            <v>37</v>
          </cell>
          <cell r="L4006">
            <v>0</v>
          </cell>
        </row>
        <row r="4007">
          <cell r="B4007">
            <v>2022</v>
          </cell>
          <cell r="C4007">
            <v>9</v>
          </cell>
          <cell r="E4007" t="str">
            <v>CAR</v>
          </cell>
          <cell r="I4007">
            <v>21</v>
          </cell>
          <cell r="J4007">
            <v>42</v>
          </cell>
          <cell r="L4007">
            <v>0</v>
          </cell>
        </row>
        <row r="4008">
          <cell r="B4008">
            <v>2022</v>
          </cell>
          <cell r="C4008">
            <v>10</v>
          </cell>
          <cell r="E4008" t="str">
            <v>CAR</v>
          </cell>
          <cell r="I4008">
            <v>25</v>
          </cell>
          <cell r="J4008">
            <v>15</v>
          </cell>
          <cell r="L4008">
            <v>0</v>
          </cell>
        </row>
        <row r="4009">
          <cell r="B4009">
            <v>2022</v>
          </cell>
          <cell r="C4009">
            <v>11</v>
          </cell>
          <cell r="E4009" t="str">
            <v>CAR</v>
          </cell>
          <cell r="I4009">
            <v>3</v>
          </cell>
          <cell r="J4009">
            <v>13</v>
          </cell>
          <cell r="L4009">
            <v>0</v>
          </cell>
        </row>
        <row r="4010">
          <cell r="B4010">
            <v>2022</v>
          </cell>
          <cell r="C4010">
            <v>12</v>
          </cell>
          <cell r="E4010" t="str">
            <v>CAR</v>
          </cell>
          <cell r="I4010">
            <v>23</v>
          </cell>
          <cell r="J4010">
            <v>10</v>
          </cell>
          <cell r="L4010">
            <v>0</v>
          </cell>
        </row>
        <row r="4011">
          <cell r="B4011">
            <v>2022</v>
          </cell>
          <cell r="C4011">
            <v>14</v>
          </cell>
          <cell r="E4011" t="str">
            <v>CAR</v>
          </cell>
          <cell r="I4011">
            <v>30</v>
          </cell>
          <cell r="J4011">
            <v>24</v>
          </cell>
          <cell r="L4011">
            <v>0</v>
          </cell>
        </row>
        <row r="4012">
          <cell r="B4012">
            <v>2022</v>
          </cell>
          <cell r="C4012">
            <v>15</v>
          </cell>
          <cell r="E4012" t="str">
            <v>CAR</v>
          </cell>
          <cell r="I4012">
            <v>16</v>
          </cell>
          <cell r="J4012">
            <v>24</v>
          </cell>
          <cell r="L4012">
            <v>0</v>
          </cell>
        </row>
        <row r="4013">
          <cell r="B4013">
            <v>2022</v>
          </cell>
          <cell r="C4013">
            <v>16</v>
          </cell>
          <cell r="E4013" t="str">
            <v>CAR</v>
          </cell>
          <cell r="I4013">
            <v>37</v>
          </cell>
          <cell r="J4013">
            <v>23</v>
          </cell>
          <cell r="L4013">
            <v>0</v>
          </cell>
        </row>
        <row r="4014">
          <cell r="B4014">
            <v>2022</v>
          </cell>
          <cell r="C4014">
            <v>17</v>
          </cell>
          <cell r="E4014" t="str">
            <v>CAR</v>
          </cell>
          <cell r="I4014">
            <v>24</v>
          </cell>
          <cell r="J4014">
            <v>30</v>
          </cell>
          <cell r="L4014">
            <v>0</v>
          </cell>
        </row>
        <row r="4015">
          <cell r="B4015">
            <v>2022</v>
          </cell>
          <cell r="C4015">
            <v>18</v>
          </cell>
          <cell r="E4015" t="str">
            <v>CAR</v>
          </cell>
          <cell r="I4015">
            <v>10</v>
          </cell>
          <cell r="J4015">
            <v>7</v>
          </cell>
          <cell r="L4015">
            <v>0</v>
          </cell>
        </row>
        <row r="4016">
          <cell r="B4016">
            <v>2023</v>
          </cell>
          <cell r="C4016">
            <v>1</v>
          </cell>
          <cell r="E4016" t="str">
            <v>CAR</v>
          </cell>
          <cell r="I4016">
            <v>10</v>
          </cell>
          <cell r="J4016">
            <v>24</v>
          </cell>
          <cell r="L4016">
            <v>0</v>
          </cell>
        </row>
        <row r="4017">
          <cell r="B4017">
            <v>2023</v>
          </cell>
          <cell r="C4017">
            <v>2</v>
          </cell>
          <cell r="E4017" t="str">
            <v>CAR</v>
          </cell>
          <cell r="I4017">
            <v>17</v>
          </cell>
          <cell r="J4017">
            <v>20</v>
          </cell>
          <cell r="L4017">
            <v>0</v>
          </cell>
        </row>
        <row r="4018">
          <cell r="B4018">
            <v>2023</v>
          </cell>
          <cell r="C4018">
            <v>3</v>
          </cell>
          <cell r="E4018" t="str">
            <v>CAR</v>
          </cell>
          <cell r="I4018">
            <v>27</v>
          </cell>
          <cell r="J4018">
            <v>37</v>
          </cell>
          <cell r="L4018">
            <v>0</v>
          </cell>
        </row>
        <row r="4019">
          <cell r="B4019">
            <v>2023</v>
          </cell>
          <cell r="C4019">
            <v>4</v>
          </cell>
          <cell r="E4019" t="str">
            <v>CAR</v>
          </cell>
          <cell r="I4019">
            <v>13</v>
          </cell>
          <cell r="J4019">
            <v>21</v>
          </cell>
          <cell r="L4019">
            <v>0</v>
          </cell>
        </row>
        <row r="4020">
          <cell r="B4020">
            <v>2023</v>
          </cell>
          <cell r="C4020">
            <v>5</v>
          </cell>
          <cell r="E4020" t="str">
            <v>CAR</v>
          </cell>
          <cell r="I4020">
            <v>24</v>
          </cell>
          <cell r="J4020">
            <v>42</v>
          </cell>
          <cell r="L4020">
            <v>0</v>
          </cell>
        </row>
        <row r="4021">
          <cell r="B4021">
            <v>2023</v>
          </cell>
          <cell r="C4021">
            <v>6</v>
          </cell>
          <cell r="E4021" t="str">
            <v>CAR</v>
          </cell>
          <cell r="I4021">
            <v>21</v>
          </cell>
          <cell r="J4021">
            <v>42</v>
          </cell>
          <cell r="L4021">
            <v>0</v>
          </cell>
        </row>
        <row r="4022">
          <cell r="B4022">
            <v>2023</v>
          </cell>
          <cell r="C4022">
            <v>8</v>
          </cell>
          <cell r="E4022" t="str">
            <v>CAR</v>
          </cell>
          <cell r="I4022">
            <v>15</v>
          </cell>
          <cell r="J4022">
            <v>13</v>
          </cell>
          <cell r="L4022">
            <v>0</v>
          </cell>
        </row>
        <row r="4023">
          <cell r="B4023">
            <v>2023</v>
          </cell>
          <cell r="C4023">
            <v>9</v>
          </cell>
          <cell r="E4023" t="str">
            <v>CAR</v>
          </cell>
          <cell r="I4023">
            <v>13</v>
          </cell>
          <cell r="J4023">
            <v>27</v>
          </cell>
          <cell r="L4023">
            <v>0</v>
          </cell>
        </row>
        <row r="4024">
          <cell r="B4024">
            <v>2023</v>
          </cell>
          <cell r="C4024">
            <v>10</v>
          </cell>
          <cell r="E4024" t="str">
            <v>CAR</v>
          </cell>
          <cell r="I4024">
            <v>13</v>
          </cell>
          <cell r="J4024">
            <v>16</v>
          </cell>
          <cell r="L4024">
            <v>0</v>
          </cell>
        </row>
        <row r="4025">
          <cell r="B4025">
            <v>2023</v>
          </cell>
          <cell r="C4025">
            <v>11</v>
          </cell>
          <cell r="E4025" t="str">
            <v>CAR</v>
          </cell>
          <cell r="I4025">
            <v>10</v>
          </cell>
          <cell r="J4025">
            <v>33</v>
          </cell>
          <cell r="L4025">
            <v>0</v>
          </cell>
        </row>
        <row r="4026">
          <cell r="B4026">
            <v>2023</v>
          </cell>
          <cell r="C4026">
            <v>12</v>
          </cell>
          <cell r="E4026" t="str">
            <v>CAR</v>
          </cell>
          <cell r="I4026">
            <v>10</v>
          </cell>
          <cell r="J4026">
            <v>17</v>
          </cell>
          <cell r="L4026">
            <v>0</v>
          </cell>
        </row>
        <row r="4027">
          <cell r="B4027">
            <v>2023</v>
          </cell>
          <cell r="C4027">
            <v>13</v>
          </cell>
          <cell r="E4027" t="str">
            <v>CAR</v>
          </cell>
          <cell r="I4027">
            <v>18</v>
          </cell>
          <cell r="J4027">
            <v>21</v>
          </cell>
          <cell r="L4027">
            <v>0</v>
          </cell>
        </row>
        <row r="4028">
          <cell r="B4028">
            <v>2023</v>
          </cell>
          <cell r="C4028">
            <v>14</v>
          </cell>
          <cell r="E4028" t="str">
            <v>CAR</v>
          </cell>
          <cell r="I4028">
            <v>6</v>
          </cell>
          <cell r="J4028">
            <v>28</v>
          </cell>
          <cell r="L4028">
            <v>0</v>
          </cell>
        </row>
        <row r="4029">
          <cell r="B4029">
            <v>2023</v>
          </cell>
          <cell r="C4029">
            <v>15</v>
          </cell>
          <cell r="E4029" t="str">
            <v>CAR</v>
          </cell>
          <cell r="I4029">
            <v>9</v>
          </cell>
          <cell r="J4029">
            <v>7</v>
          </cell>
          <cell r="L4029">
            <v>0</v>
          </cell>
        </row>
        <row r="4030">
          <cell r="B4030">
            <v>2023</v>
          </cell>
          <cell r="C4030">
            <v>16</v>
          </cell>
          <cell r="E4030" t="str">
            <v>CAR</v>
          </cell>
          <cell r="I4030">
            <v>30</v>
          </cell>
          <cell r="J4030">
            <v>33</v>
          </cell>
          <cell r="L4030">
            <v>0</v>
          </cell>
        </row>
        <row r="4031">
          <cell r="B4031">
            <v>2023</v>
          </cell>
          <cell r="C4031">
            <v>17</v>
          </cell>
          <cell r="E4031" t="str">
            <v>CAR</v>
          </cell>
          <cell r="I4031">
            <v>0</v>
          </cell>
          <cell r="J4031">
            <v>26</v>
          </cell>
          <cell r="L4031">
            <v>0</v>
          </cell>
        </row>
        <row r="4032">
          <cell r="B4032">
            <v>2023</v>
          </cell>
          <cell r="C4032">
            <v>18</v>
          </cell>
          <cell r="E4032" t="str">
            <v>CAR</v>
          </cell>
          <cell r="I4032">
            <v>0</v>
          </cell>
          <cell r="J4032">
            <v>9</v>
          </cell>
          <cell r="L4032">
            <v>0</v>
          </cell>
        </row>
        <row r="4033">
          <cell r="B4033">
            <v>2024</v>
          </cell>
          <cell r="C4033">
            <v>1</v>
          </cell>
          <cell r="E4033" t="str">
            <v>CAR</v>
          </cell>
          <cell r="I4033">
            <v>10</v>
          </cell>
          <cell r="J4033">
            <v>47</v>
          </cell>
          <cell r="L4033">
            <v>0</v>
          </cell>
        </row>
        <row r="4034">
          <cell r="B4034">
            <v>2024</v>
          </cell>
          <cell r="C4034">
            <v>2</v>
          </cell>
          <cell r="E4034" t="str">
            <v>CAR</v>
          </cell>
          <cell r="I4034">
            <v>3</v>
          </cell>
          <cell r="J4034">
            <v>26</v>
          </cell>
          <cell r="L4034">
            <v>0</v>
          </cell>
        </row>
        <row r="4035">
          <cell r="B4035">
            <v>2024</v>
          </cell>
          <cell r="C4035">
            <v>3</v>
          </cell>
          <cell r="E4035" t="str">
            <v>CAR</v>
          </cell>
          <cell r="I4035">
            <v>36</v>
          </cell>
          <cell r="J4035">
            <v>22</v>
          </cell>
          <cell r="L4035">
            <v>0</v>
          </cell>
        </row>
        <row r="4036">
          <cell r="B4036">
            <v>2024</v>
          </cell>
          <cell r="C4036">
            <v>4</v>
          </cell>
          <cell r="E4036" t="str">
            <v>CAR</v>
          </cell>
          <cell r="I4036">
            <v>24</v>
          </cell>
          <cell r="J4036">
            <v>34</v>
          </cell>
          <cell r="L4036">
            <v>0</v>
          </cell>
        </row>
        <row r="4037">
          <cell r="B4037">
            <v>2024</v>
          </cell>
          <cell r="C4037">
            <v>5</v>
          </cell>
          <cell r="E4037" t="str">
            <v>CAR</v>
          </cell>
          <cell r="I4037">
            <v>10</v>
          </cell>
          <cell r="J4037">
            <v>36</v>
          </cell>
          <cell r="L4037">
            <v>0</v>
          </cell>
        </row>
        <row r="4038">
          <cell r="B4038">
            <v>2024</v>
          </cell>
          <cell r="C4038">
            <v>6</v>
          </cell>
          <cell r="E4038" t="str">
            <v>CAR</v>
          </cell>
          <cell r="I4038">
            <v>20</v>
          </cell>
          <cell r="J4038">
            <v>38</v>
          </cell>
          <cell r="L4038">
            <v>0</v>
          </cell>
        </row>
        <row r="4039">
          <cell r="B4039">
            <v>2024</v>
          </cell>
          <cell r="C4039">
            <v>7</v>
          </cell>
          <cell r="E4039" t="str">
            <v>CAR</v>
          </cell>
          <cell r="I4039">
            <v>7</v>
          </cell>
          <cell r="J4039">
            <v>40</v>
          </cell>
          <cell r="L4039">
            <v>0</v>
          </cell>
        </row>
        <row r="4040">
          <cell r="B4040">
            <v>2024</v>
          </cell>
          <cell r="C4040">
            <v>8</v>
          </cell>
          <cell r="E4040" t="str">
            <v>CAR</v>
          </cell>
          <cell r="I4040">
            <v>14</v>
          </cell>
          <cell r="J4040">
            <v>28</v>
          </cell>
          <cell r="L4040">
            <v>0</v>
          </cell>
        </row>
        <row r="4041">
          <cell r="B4041">
            <v>2024</v>
          </cell>
          <cell r="C4041">
            <v>9</v>
          </cell>
          <cell r="E4041" t="str">
            <v>CAR</v>
          </cell>
          <cell r="I4041">
            <v>23</v>
          </cell>
          <cell r="J4041">
            <v>22</v>
          </cell>
          <cell r="L4041">
            <v>0</v>
          </cell>
        </row>
        <row r="4042">
          <cell r="B4042">
            <v>2024</v>
          </cell>
          <cell r="C4042">
            <v>10</v>
          </cell>
          <cell r="E4042" t="str">
            <v>CAR</v>
          </cell>
          <cell r="I4042">
            <v>20</v>
          </cell>
          <cell r="J4042">
            <v>17</v>
          </cell>
          <cell r="L4042">
            <v>0</v>
          </cell>
        </row>
        <row r="4043">
          <cell r="B4043">
            <v>2024</v>
          </cell>
          <cell r="C4043">
            <v>12</v>
          </cell>
          <cell r="E4043" t="str">
            <v>CAR</v>
          </cell>
          <cell r="I4043">
            <v>27</v>
          </cell>
          <cell r="J4043">
            <v>30</v>
          </cell>
          <cell r="L4043">
            <v>0</v>
          </cell>
        </row>
        <row r="4044">
          <cell r="B4044">
            <v>2024</v>
          </cell>
          <cell r="C4044">
            <v>13</v>
          </cell>
          <cell r="E4044" t="str">
            <v>CAR</v>
          </cell>
          <cell r="I4044">
            <v>23</v>
          </cell>
          <cell r="J4044">
            <v>26</v>
          </cell>
          <cell r="L4044">
            <v>0</v>
          </cell>
        </row>
        <row r="4045">
          <cell r="B4045">
            <v>2024</v>
          </cell>
          <cell r="C4045">
            <v>14</v>
          </cell>
          <cell r="E4045" t="str">
            <v>CAR</v>
          </cell>
          <cell r="I4045">
            <v>16</v>
          </cell>
          <cell r="J4045">
            <v>22</v>
          </cell>
          <cell r="L4045">
            <v>0</v>
          </cell>
        </row>
        <row r="4046">
          <cell r="B4046">
            <v>2024</v>
          </cell>
          <cell r="C4046">
            <v>15</v>
          </cell>
          <cell r="E4046" t="str">
            <v>CAR</v>
          </cell>
          <cell r="I4046">
            <v>14</v>
          </cell>
          <cell r="J4046">
            <v>30</v>
          </cell>
          <cell r="L4046">
            <v>0</v>
          </cell>
        </row>
        <row r="4047">
          <cell r="B4047">
            <v>2024</v>
          </cell>
          <cell r="C4047">
            <v>16</v>
          </cell>
          <cell r="E4047" t="str">
            <v>CAR</v>
          </cell>
          <cell r="I4047">
            <v>36</v>
          </cell>
          <cell r="J4047">
            <v>30</v>
          </cell>
          <cell r="L4047">
            <v>0</v>
          </cell>
        </row>
        <row r="4048">
          <cell r="B4048">
            <v>2024</v>
          </cell>
          <cell r="C4048">
            <v>17</v>
          </cell>
          <cell r="E4048" t="str">
            <v>CAR</v>
          </cell>
          <cell r="I4048">
            <v>14</v>
          </cell>
          <cell r="J4048">
            <v>48</v>
          </cell>
          <cell r="L4048">
            <v>0</v>
          </cell>
        </row>
        <row r="4049">
          <cell r="B4049">
            <v>2024</v>
          </cell>
          <cell r="C4049">
            <v>18</v>
          </cell>
          <cell r="E4049" t="str">
            <v>CAR</v>
          </cell>
          <cell r="I4049">
            <v>44</v>
          </cell>
          <cell r="J4049">
            <v>38</v>
          </cell>
          <cell r="L4049">
            <v>0</v>
          </cell>
        </row>
        <row r="4050">
          <cell r="B4050">
            <v>2025</v>
          </cell>
          <cell r="C4050">
            <v>1</v>
          </cell>
          <cell r="E4050" t="str">
            <v>CAR</v>
          </cell>
          <cell r="I4050">
            <v>10</v>
          </cell>
          <cell r="J4050">
            <v>26</v>
          </cell>
          <cell r="L4050">
            <v>0</v>
          </cell>
        </row>
        <row r="4051">
          <cell r="B4051">
            <v>2025</v>
          </cell>
          <cell r="C4051">
            <v>2</v>
          </cell>
          <cell r="E4051" t="str">
            <v>CAR</v>
          </cell>
          <cell r="I4051">
            <v>22</v>
          </cell>
          <cell r="J4051">
            <v>27</v>
          </cell>
          <cell r="L4051">
            <v>0</v>
          </cell>
        </row>
        <row r="4052">
          <cell r="B4052">
            <v>2025</v>
          </cell>
          <cell r="C4052">
            <v>3</v>
          </cell>
          <cell r="E4052" t="str">
            <v>CAR</v>
          </cell>
          <cell r="I4052">
            <v>30</v>
          </cell>
          <cell r="J4052">
            <v>0</v>
          </cell>
          <cell r="L4052">
            <v>0</v>
          </cell>
        </row>
        <row r="4053">
          <cell r="B4053">
            <v>2025</v>
          </cell>
          <cell r="C4053">
            <v>4</v>
          </cell>
          <cell r="E4053" t="str">
            <v>CAR</v>
          </cell>
          <cell r="I4053">
            <v>13</v>
          </cell>
          <cell r="J4053">
            <v>42</v>
          </cell>
          <cell r="L4053">
            <v>0</v>
          </cell>
        </row>
        <row r="4054">
          <cell r="B4054">
            <v>2025</v>
          </cell>
          <cell r="C4054">
            <v>5</v>
          </cell>
          <cell r="E4054" t="str">
            <v>CAR</v>
          </cell>
          <cell r="I4054">
            <v>27</v>
          </cell>
          <cell r="J4054">
            <v>24</v>
          </cell>
          <cell r="L4054">
            <v>0</v>
          </cell>
        </row>
        <row r="4055">
          <cell r="B4055">
            <v>2025</v>
          </cell>
          <cell r="C4055">
            <v>6</v>
          </cell>
          <cell r="E4055" t="str">
            <v>CAR</v>
          </cell>
          <cell r="I4055">
            <v>30</v>
          </cell>
          <cell r="J4055">
            <v>27</v>
          </cell>
          <cell r="L4055">
            <v>0</v>
          </cell>
        </row>
        <row r="4056">
          <cell r="B4056">
            <v>2025</v>
          </cell>
          <cell r="C4056">
            <v>7</v>
          </cell>
          <cell r="E4056" t="str">
            <v>CAR</v>
          </cell>
          <cell r="I4056">
            <v>13</v>
          </cell>
          <cell r="J4056">
            <v>6</v>
          </cell>
          <cell r="L4056">
            <v>0</v>
          </cell>
        </row>
        <row r="4057">
          <cell r="B4057">
            <v>2025</v>
          </cell>
          <cell r="C4057">
            <v>8</v>
          </cell>
          <cell r="E4057" t="str">
            <v>CAR</v>
          </cell>
          <cell r="I4057">
            <v>9</v>
          </cell>
          <cell r="J4057">
            <v>40</v>
          </cell>
          <cell r="L4057">
            <v>0</v>
          </cell>
        </row>
        <row r="4058">
          <cell r="B4058">
            <v>2025</v>
          </cell>
          <cell r="C4058">
            <v>9</v>
          </cell>
          <cell r="E4058" t="str">
            <v>CAR</v>
          </cell>
          <cell r="I4058">
            <v>16</v>
          </cell>
          <cell r="J4058">
            <v>13</v>
          </cell>
          <cell r="L4058">
            <v>0</v>
          </cell>
        </row>
        <row r="4059">
          <cell r="B4059">
            <v>2025</v>
          </cell>
          <cell r="C4059">
            <v>10</v>
          </cell>
          <cell r="E4059" t="str">
            <v>CAR</v>
          </cell>
          <cell r="I4059">
            <v>7</v>
          </cell>
          <cell r="J4059">
            <v>17</v>
          </cell>
          <cell r="L4059">
            <v>0</v>
          </cell>
        </row>
        <row r="4060">
          <cell r="B4060">
            <v>2025</v>
          </cell>
          <cell r="C4060">
            <v>11</v>
          </cell>
          <cell r="E4060" t="str">
            <v>CAR</v>
          </cell>
          <cell r="I4060">
            <v>30</v>
          </cell>
          <cell r="J4060">
            <v>27</v>
          </cell>
          <cell r="L4060">
            <v>0</v>
          </cell>
        </row>
        <row r="4061">
          <cell r="B4061">
            <v>2025</v>
          </cell>
          <cell r="C4061">
            <v>12</v>
          </cell>
          <cell r="E4061" t="str">
            <v>CAR</v>
          </cell>
          <cell r="I4061">
            <v>9</v>
          </cell>
          <cell r="J4061">
            <v>20</v>
          </cell>
          <cell r="L4061">
            <v>0</v>
          </cell>
        </row>
        <row r="4062">
          <cell r="B4062">
            <v>2025</v>
          </cell>
          <cell r="C4062">
            <v>13</v>
          </cell>
          <cell r="E4062" t="str">
            <v>CAR</v>
          </cell>
          <cell r="I4062">
            <v>31</v>
          </cell>
          <cell r="J4062">
            <v>28</v>
          </cell>
          <cell r="L4062">
            <v>0</v>
          </cell>
        </row>
        <row r="4063">
          <cell r="B4063">
            <v>2025</v>
          </cell>
          <cell r="C4063">
            <v>15</v>
          </cell>
          <cell r="E4063" t="str">
            <v>CAR</v>
          </cell>
          <cell r="I4063">
            <v>17</v>
          </cell>
          <cell r="J4063">
            <v>20</v>
          </cell>
          <cell r="L4063">
            <v>0</v>
          </cell>
        </row>
        <row r="4064">
          <cell r="B4064">
            <v>2025</v>
          </cell>
          <cell r="C4064">
            <v>16</v>
          </cell>
          <cell r="E4064" t="str">
            <v>CAR</v>
          </cell>
          <cell r="I4064">
            <v>23</v>
          </cell>
          <cell r="J4064">
            <v>20</v>
          </cell>
          <cell r="L4064">
            <v>0</v>
          </cell>
        </row>
        <row r="4065">
          <cell r="B4065">
            <v>2025</v>
          </cell>
          <cell r="C4065">
            <v>17</v>
          </cell>
          <cell r="E4065" t="str">
            <v>CAR</v>
          </cell>
          <cell r="I4065">
            <v>10</v>
          </cell>
          <cell r="J4065">
            <v>27</v>
          </cell>
          <cell r="L4065">
            <v>0</v>
          </cell>
        </row>
        <row r="4066">
          <cell r="B4066">
            <v>2025</v>
          </cell>
          <cell r="C4066">
            <v>18</v>
          </cell>
          <cell r="E4066" t="str">
            <v>CAR</v>
          </cell>
          <cell r="I4066">
            <v>14</v>
          </cell>
          <cell r="J4066">
            <v>16</v>
          </cell>
          <cell r="L4066">
            <v>0</v>
          </cell>
        </row>
        <row r="4067">
          <cell r="B4067">
            <v>2025</v>
          </cell>
          <cell r="C4067">
            <v>1</v>
          </cell>
          <cell r="E4067" t="str">
            <v>CAR</v>
          </cell>
          <cell r="I4067">
            <v>31</v>
          </cell>
          <cell r="J4067">
            <v>34</v>
          </cell>
          <cell r="L4067">
            <v>1</v>
          </cell>
        </row>
        <row r="4068">
          <cell r="B4068">
            <v>2026</v>
          </cell>
          <cell r="C4068">
            <v>1</v>
          </cell>
          <cell r="E4068" t="str">
            <v>CAR</v>
          </cell>
          <cell r="I4068">
            <v>37</v>
          </cell>
          <cell r="J4068">
            <v>59</v>
          </cell>
          <cell r="L4068">
            <v>0</v>
          </cell>
        </row>
        <row r="4069">
          <cell r="B4069">
            <v>2026</v>
          </cell>
          <cell r="C4069">
            <v>2</v>
          </cell>
          <cell r="E4069" t="str">
            <v>CAR</v>
          </cell>
          <cell r="I4069">
            <v>34</v>
          </cell>
          <cell r="J4069">
            <v>3</v>
          </cell>
          <cell r="L4069">
            <v>0</v>
          </cell>
        </row>
        <row r="4070">
          <cell r="B4070">
            <v>2026</v>
          </cell>
          <cell r="C4070">
            <v>3</v>
          </cell>
          <cell r="E4070" t="str">
            <v>CAR</v>
          </cell>
          <cell r="I4070">
            <v>18</v>
          </cell>
          <cell r="J4070">
            <v>21</v>
          </cell>
          <cell r="L4070">
            <v>0</v>
          </cell>
        </row>
        <row r="4071">
          <cell r="B4071">
            <v>2026</v>
          </cell>
          <cell r="C4071">
            <v>4</v>
          </cell>
          <cell r="E4071" t="str">
            <v>CAR</v>
          </cell>
          <cell r="I4071">
            <v>32</v>
          </cell>
          <cell r="J4071">
            <v>26</v>
          </cell>
          <cell r="L4071">
            <v>0</v>
          </cell>
        </row>
        <row r="4072">
          <cell r="B4072">
            <v>2026</v>
          </cell>
          <cell r="C4072">
            <v>6</v>
          </cell>
          <cell r="E4072" t="str">
            <v>CAR</v>
          </cell>
          <cell r="I4072">
            <v>25</v>
          </cell>
          <cell r="J4072">
            <v>14</v>
          </cell>
          <cell r="L4072">
            <v>0</v>
          </cell>
        </row>
        <row r="4073">
          <cell r="B4073">
            <v>2026</v>
          </cell>
          <cell r="C4073">
            <v>7</v>
          </cell>
          <cell r="E4073" t="str">
            <v>CAR</v>
          </cell>
          <cell r="L4073">
            <v>0</v>
          </cell>
        </row>
        <row r="4074">
          <cell r="B4074">
            <v>2018</v>
          </cell>
          <cell r="C4074">
            <v>1</v>
          </cell>
          <cell r="E4074" t="str">
            <v>SF</v>
          </cell>
          <cell r="I4074">
            <v>16</v>
          </cell>
          <cell r="J4074">
            <v>24</v>
          </cell>
          <cell r="L4074">
            <v>0</v>
          </cell>
        </row>
        <row r="4075">
          <cell r="B4075">
            <v>2018</v>
          </cell>
          <cell r="C4075">
            <v>2</v>
          </cell>
          <cell r="E4075" t="str">
            <v>SF</v>
          </cell>
          <cell r="I4075">
            <v>30</v>
          </cell>
          <cell r="J4075">
            <v>27</v>
          </cell>
          <cell r="L4075">
            <v>0</v>
          </cell>
        </row>
        <row r="4076">
          <cell r="B4076">
            <v>2018</v>
          </cell>
          <cell r="C4076">
            <v>3</v>
          </cell>
          <cell r="E4076" t="str">
            <v>SF</v>
          </cell>
          <cell r="I4076">
            <v>27</v>
          </cell>
          <cell r="J4076">
            <v>38</v>
          </cell>
          <cell r="L4076">
            <v>0</v>
          </cell>
        </row>
        <row r="4077">
          <cell r="B4077">
            <v>2018</v>
          </cell>
          <cell r="C4077">
            <v>4</v>
          </cell>
          <cell r="E4077" t="str">
            <v>SF</v>
          </cell>
          <cell r="I4077">
            <v>27</v>
          </cell>
          <cell r="J4077">
            <v>29</v>
          </cell>
          <cell r="L4077">
            <v>0</v>
          </cell>
        </row>
        <row r="4078">
          <cell r="B4078">
            <v>2018</v>
          </cell>
          <cell r="C4078">
            <v>5</v>
          </cell>
          <cell r="E4078" t="str">
            <v>SF</v>
          </cell>
          <cell r="I4078">
            <v>18</v>
          </cell>
          <cell r="J4078">
            <v>28</v>
          </cell>
          <cell r="L4078">
            <v>0</v>
          </cell>
        </row>
        <row r="4079">
          <cell r="B4079">
            <v>2018</v>
          </cell>
          <cell r="C4079">
            <v>6</v>
          </cell>
          <cell r="E4079" t="str">
            <v>SF</v>
          </cell>
          <cell r="I4079">
            <v>30</v>
          </cell>
          <cell r="J4079">
            <v>33</v>
          </cell>
          <cell r="L4079">
            <v>0</v>
          </cell>
        </row>
        <row r="4080">
          <cell r="B4080">
            <v>2018</v>
          </cell>
          <cell r="C4080">
            <v>7</v>
          </cell>
          <cell r="E4080" t="str">
            <v>SF</v>
          </cell>
          <cell r="I4080">
            <v>10</v>
          </cell>
          <cell r="J4080">
            <v>39</v>
          </cell>
          <cell r="L4080">
            <v>0</v>
          </cell>
        </row>
        <row r="4081">
          <cell r="B4081">
            <v>2018</v>
          </cell>
          <cell r="C4081">
            <v>8</v>
          </cell>
          <cell r="E4081" t="str">
            <v>SF</v>
          </cell>
          <cell r="I4081">
            <v>15</v>
          </cell>
          <cell r="J4081">
            <v>18</v>
          </cell>
          <cell r="L4081">
            <v>0</v>
          </cell>
        </row>
        <row r="4082">
          <cell r="B4082">
            <v>2018</v>
          </cell>
          <cell r="C4082">
            <v>9</v>
          </cell>
          <cell r="E4082" t="str">
            <v>SF</v>
          </cell>
          <cell r="I4082">
            <v>34</v>
          </cell>
          <cell r="J4082">
            <v>3</v>
          </cell>
          <cell r="L4082">
            <v>0</v>
          </cell>
        </row>
        <row r="4083">
          <cell r="B4083">
            <v>2018</v>
          </cell>
          <cell r="C4083">
            <v>10</v>
          </cell>
          <cell r="E4083" t="str">
            <v>SF</v>
          </cell>
          <cell r="I4083">
            <v>23</v>
          </cell>
          <cell r="J4083">
            <v>27</v>
          </cell>
          <cell r="L4083">
            <v>0</v>
          </cell>
        </row>
        <row r="4084">
          <cell r="B4084">
            <v>2018</v>
          </cell>
          <cell r="C4084">
            <v>12</v>
          </cell>
          <cell r="E4084" t="str">
            <v>SF</v>
          </cell>
          <cell r="I4084">
            <v>9</v>
          </cell>
          <cell r="J4084">
            <v>27</v>
          </cell>
          <cell r="L4084">
            <v>0</v>
          </cell>
        </row>
        <row r="4085">
          <cell r="B4085">
            <v>2018</v>
          </cell>
          <cell r="C4085">
            <v>13</v>
          </cell>
          <cell r="E4085" t="str">
            <v>SF</v>
          </cell>
          <cell r="I4085">
            <v>16</v>
          </cell>
          <cell r="J4085">
            <v>43</v>
          </cell>
          <cell r="L4085">
            <v>0</v>
          </cell>
        </row>
        <row r="4086">
          <cell r="B4086">
            <v>2018</v>
          </cell>
          <cell r="C4086">
            <v>14</v>
          </cell>
          <cell r="E4086" t="str">
            <v>SF</v>
          </cell>
          <cell r="I4086">
            <v>20</v>
          </cell>
          <cell r="J4086">
            <v>14</v>
          </cell>
          <cell r="L4086">
            <v>0</v>
          </cell>
        </row>
        <row r="4087">
          <cell r="B4087">
            <v>2018</v>
          </cell>
          <cell r="C4087">
            <v>15</v>
          </cell>
          <cell r="E4087" t="str">
            <v>SF</v>
          </cell>
          <cell r="I4087">
            <v>26</v>
          </cell>
          <cell r="J4087">
            <v>23</v>
          </cell>
          <cell r="L4087">
            <v>0</v>
          </cell>
        </row>
        <row r="4088">
          <cell r="B4088">
            <v>2018</v>
          </cell>
          <cell r="C4088">
            <v>16</v>
          </cell>
          <cell r="E4088" t="str">
            <v>SF</v>
          </cell>
          <cell r="I4088">
            <v>9</v>
          </cell>
          <cell r="J4088">
            <v>14</v>
          </cell>
          <cell r="L4088">
            <v>0</v>
          </cell>
        </row>
        <row r="4089">
          <cell r="B4089">
            <v>2018</v>
          </cell>
          <cell r="C4089">
            <v>17</v>
          </cell>
          <cell r="E4089" t="str">
            <v>SF</v>
          </cell>
          <cell r="I4089">
            <v>32</v>
          </cell>
          <cell r="J4089">
            <v>48</v>
          </cell>
          <cell r="L4089">
            <v>0</v>
          </cell>
        </row>
        <row r="4090">
          <cell r="B4090">
            <v>2019</v>
          </cell>
          <cell r="C4090">
            <v>1</v>
          </cell>
          <cell r="E4090" t="str">
            <v>SF</v>
          </cell>
          <cell r="I4090">
            <v>31</v>
          </cell>
          <cell r="J4090">
            <v>17</v>
          </cell>
          <cell r="L4090">
            <v>0</v>
          </cell>
        </row>
        <row r="4091">
          <cell r="B4091">
            <v>2019</v>
          </cell>
          <cell r="C4091">
            <v>2</v>
          </cell>
          <cell r="E4091" t="str">
            <v>SF</v>
          </cell>
          <cell r="I4091">
            <v>41</v>
          </cell>
          <cell r="J4091">
            <v>17</v>
          </cell>
          <cell r="L4091">
            <v>0</v>
          </cell>
        </row>
        <row r="4092">
          <cell r="B4092">
            <v>2019</v>
          </cell>
          <cell r="C4092">
            <v>3</v>
          </cell>
          <cell r="E4092" t="str">
            <v>SF</v>
          </cell>
          <cell r="I4092">
            <v>24</v>
          </cell>
          <cell r="J4092">
            <v>20</v>
          </cell>
          <cell r="L4092">
            <v>0</v>
          </cell>
        </row>
        <row r="4093">
          <cell r="B4093">
            <v>2019</v>
          </cell>
          <cell r="C4093">
            <v>5</v>
          </cell>
          <cell r="E4093" t="str">
            <v>SF</v>
          </cell>
          <cell r="I4093">
            <v>31</v>
          </cell>
          <cell r="J4093">
            <v>3</v>
          </cell>
          <cell r="L4093">
            <v>0</v>
          </cell>
        </row>
        <row r="4094">
          <cell r="B4094">
            <v>2019</v>
          </cell>
          <cell r="C4094">
            <v>6</v>
          </cell>
          <cell r="E4094" t="str">
            <v>SF</v>
          </cell>
          <cell r="I4094">
            <v>20</v>
          </cell>
          <cell r="J4094">
            <v>7</v>
          </cell>
          <cell r="L4094">
            <v>0</v>
          </cell>
        </row>
        <row r="4095">
          <cell r="B4095">
            <v>2019</v>
          </cell>
          <cell r="C4095">
            <v>7</v>
          </cell>
          <cell r="E4095" t="str">
            <v>SF</v>
          </cell>
          <cell r="I4095">
            <v>9</v>
          </cell>
          <cell r="J4095">
            <v>0</v>
          </cell>
          <cell r="L4095">
            <v>0</v>
          </cell>
        </row>
        <row r="4096">
          <cell r="B4096">
            <v>2019</v>
          </cell>
          <cell r="C4096">
            <v>8</v>
          </cell>
          <cell r="E4096" t="str">
            <v>SF</v>
          </cell>
          <cell r="I4096">
            <v>51</v>
          </cell>
          <cell r="J4096">
            <v>13</v>
          </cell>
          <cell r="L4096">
            <v>0</v>
          </cell>
        </row>
        <row r="4097">
          <cell r="B4097">
            <v>2019</v>
          </cell>
          <cell r="C4097">
            <v>9</v>
          </cell>
          <cell r="E4097" t="str">
            <v>SF</v>
          </cell>
          <cell r="I4097">
            <v>28</v>
          </cell>
          <cell r="J4097">
            <v>25</v>
          </cell>
          <cell r="L4097">
            <v>0</v>
          </cell>
        </row>
        <row r="4098">
          <cell r="B4098">
            <v>2019</v>
          </cell>
          <cell r="C4098">
            <v>10</v>
          </cell>
          <cell r="E4098" t="str">
            <v>SF</v>
          </cell>
          <cell r="I4098">
            <v>24</v>
          </cell>
          <cell r="J4098">
            <v>27</v>
          </cell>
          <cell r="L4098">
            <v>0</v>
          </cell>
        </row>
        <row r="4099">
          <cell r="B4099">
            <v>2019</v>
          </cell>
          <cell r="C4099">
            <v>11</v>
          </cell>
          <cell r="E4099" t="str">
            <v>SF</v>
          </cell>
          <cell r="I4099">
            <v>36</v>
          </cell>
          <cell r="J4099">
            <v>26</v>
          </cell>
          <cell r="L4099">
            <v>0</v>
          </cell>
        </row>
        <row r="4100">
          <cell r="B4100">
            <v>2019</v>
          </cell>
          <cell r="C4100">
            <v>12</v>
          </cell>
          <cell r="E4100" t="str">
            <v>SF</v>
          </cell>
          <cell r="I4100">
            <v>37</v>
          </cell>
          <cell r="J4100">
            <v>8</v>
          </cell>
          <cell r="L4100">
            <v>0</v>
          </cell>
        </row>
        <row r="4101">
          <cell r="B4101">
            <v>2019</v>
          </cell>
          <cell r="C4101">
            <v>13</v>
          </cell>
          <cell r="E4101" t="str">
            <v>SF</v>
          </cell>
          <cell r="I4101">
            <v>17</v>
          </cell>
          <cell r="J4101">
            <v>20</v>
          </cell>
          <cell r="L4101">
            <v>0</v>
          </cell>
        </row>
        <row r="4102">
          <cell r="B4102">
            <v>2019</v>
          </cell>
          <cell r="C4102">
            <v>14</v>
          </cell>
          <cell r="E4102" t="str">
            <v>SF</v>
          </cell>
          <cell r="I4102">
            <v>48</v>
          </cell>
          <cell r="J4102">
            <v>46</v>
          </cell>
          <cell r="L4102">
            <v>0</v>
          </cell>
        </row>
        <row r="4103">
          <cell r="B4103">
            <v>2019</v>
          </cell>
          <cell r="C4103">
            <v>15</v>
          </cell>
          <cell r="E4103" t="str">
            <v>SF</v>
          </cell>
          <cell r="I4103">
            <v>22</v>
          </cell>
          <cell r="J4103">
            <v>29</v>
          </cell>
          <cell r="L4103">
            <v>0</v>
          </cell>
        </row>
        <row r="4104">
          <cell r="B4104">
            <v>2019</v>
          </cell>
          <cell r="C4104">
            <v>16</v>
          </cell>
          <cell r="E4104" t="str">
            <v>SF</v>
          </cell>
          <cell r="I4104">
            <v>34</v>
          </cell>
          <cell r="J4104">
            <v>31</v>
          </cell>
          <cell r="L4104">
            <v>0</v>
          </cell>
        </row>
        <row r="4105">
          <cell r="B4105">
            <v>2019</v>
          </cell>
          <cell r="C4105">
            <v>17</v>
          </cell>
          <cell r="E4105" t="str">
            <v>SF</v>
          </cell>
          <cell r="I4105">
            <v>26</v>
          </cell>
          <cell r="J4105">
            <v>21</v>
          </cell>
          <cell r="L4105">
            <v>0</v>
          </cell>
        </row>
        <row r="4106">
          <cell r="B4106">
            <v>2019</v>
          </cell>
          <cell r="C4106">
            <v>2</v>
          </cell>
          <cell r="E4106" t="str">
            <v>SF</v>
          </cell>
          <cell r="I4106">
            <v>27</v>
          </cell>
          <cell r="J4106">
            <v>10</v>
          </cell>
          <cell r="L4106">
            <v>1</v>
          </cell>
        </row>
        <row r="4107">
          <cell r="B4107">
            <v>2019</v>
          </cell>
          <cell r="C4107">
            <v>3</v>
          </cell>
          <cell r="E4107" t="str">
            <v>SF</v>
          </cell>
          <cell r="I4107">
            <v>37</v>
          </cell>
          <cell r="J4107">
            <v>20</v>
          </cell>
          <cell r="L4107">
            <v>1</v>
          </cell>
        </row>
        <row r="4108">
          <cell r="B4108">
            <v>2019</v>
          </cell>
          <cell r="C4108">
            <v>5</v>
          </cell>
          <cell r="E4108" t="str">
            <v>SF</v>
          </cell>
          <cell r="I4108">
            <v>20</v>
          </cell>
          <cell r="J4108">
            <v>31</v>
          </cell>
          <cell r="L4108">
            <v>1</v>
          </cell>
        </row>
        <row r="4109">
          <cell r="B4109">
            <v>2020</v>
          </cell>
          <cell r="C4109">
            <v>1</v>
          </cell>
          <cell r="E4109" t="str">
            <v>SF</v>
          </cell>
          <cell r="I4109">
            <v>20</v>
          </cell>
          <cell r="J4109">
            <v>24</v>
          </cell>
          <cell r="L4109">
            <v>0</v>
          </cell>
        </row>
        <row r="4110">
          <cell r="B4110">
            <v>2020</v>
          </cell>
          <cell r="C4110">
            <v>2</v>
          </cell>
          <cell r="E4110" t="str">
            <v>SF</v>
          </cell>
          <cell r="I4110">
            <v>31</v>
          </cell>
          <cell r="J4110">
            <v>13</v>
          </cell>
          <cell r="L4110">
            <v>0</v>
          </cell>
        </row>
        <row r="4111">
          <cell r="B4111">
            <v>2020</v>
          </cell>
          <cell r="C4111">
            <v>3</v>
          </cell>
          <cell r="E4111" t="str">
            <v>SF</v>
          </cell>
          <cell r="I4111">
            <v>36</v>
          </cell>
          <cell r="J4111">
            <v>9</v>
          </cell>
          <cell r="L4111">
            <v>0</v>
          </cell>
        </row>
        <row r="4112">
          <cell r="B4112">
            <v>2020</v>
          </cell>
          <cell r="C4112">
            <v>4</v>
          </cell>
          <cell r="E4112" t="str">
            <v>SF</v>
          </cell>
          <cell r="I4112">
            <v>20</v>
          </cell>
          <cell r="J4112">
            <v>25</v>
          </cell>
          <cell r="L4112">
            <v>0</v>
          </cell>
        </row>
        <row r="4113">
          <cell r="B4113">
            <v>2020</v>
          </cell>
          <cell r="C4113">
            <v>5</v>
          </cell>
          <cell r="E4113" t="str">
            <v>SF</v>
          </cell>
          <cell r="I4113">
            <v>17</v>
          </cell>
          <cell r="J4113">
            <v>43</v>
          </cell>
          <cell r="L4113">
            <v>0</v>
          </cell>
        </row>
        <row r="4114">
          <cell r="B4114">
            <v>2020</v>
          </cell>
          <cell r="C4114">
            <v>6</v>
          </cell>
          <cell r="E4114" t="str">
            <v>SF</v>
          </cell>
          <cell r="I4114">
            <v>24</v>
          </cell>
          <cell r="J4114">
            <v>16</v>
          </cell>
          <cell r="L4114">
            <v>0</v>
          </cell>
        </row>
        <row r="4115">
          <cell r="B4115">
            <v>2020</v>
          </cell>
          <cell r="C4115">
            <v>7</v>
          </cell>
          <cell r="E4115" t="str">
            <v>SF</v>
          </cell>
          <cell r="I4115">
            <v>33</v>
          </cell>
          <cell r="J4115">
            <v>6</v>
          </cell>
          <cell r="L4115">
            <v>0</v>
          </cell>
        </row>
        <row r="4116">
          <cell r="B4116">
            <v>2020</v>
          </cell>
          <cell r="C4116">
            <v>8</v>
          </cell>
          <cell r="E4116" t="str">
            <v>SF</v>
          </cell>
          <cell r="I4116">
            <v>27</v>
          </cell>
          <cell r="J4116">
            <v>37</v>
          </cell>
          <cell r="L4116">
            <v>0</v>
          </cell>
        </row>
        <row r="4117">
          <cell r="B4117">
            <v>2020</v>
          </cell>
          <cell r="C4117">
            <v>9</v>
          </cell>
          <cell r="E4117" t="str">
            <v>SF</v>
          </cell>
          <cell r="I4117">
            <v>17</v>
          </cell>
          <cell r="J4117">
            <v>34</v>
          </cell>
          <cell r="L4117">
            <v>0</v>
          </cell>
        </row>
        <row r="4118">
          <cell r="B4118">
            <v>2020</v>
          </cell>
          <cell r="C4118">
            <v>10</v>
          </cell>
          <cell r="E4118" t="str">
            <v>SF</v>
          </cell>
          <cell r="I4118">
            <v>13</v>
          </cell>
          <cell r="J4118">
            <v>27</v>
          </cell>
          <cell r="L4118">
            <v>0</v>
          </cell>
        </row>
        <row r="4119">
          <cell r="B4119">
            <v>2020</v>
          </cell>
          <cell r="C4119">
            <v>12</v>
          </cell>
          <cell r="E4119" t="str">
            <v>SF</v>
          </cell>
          <cell r="I4119">
            <v>23</v>
          </cell>
          <cell r="J4119">
            <v>20</v>
          </cell>
          <cell r="L4119">
            <v>0</v>
          </cell>
        </row>
        <row r="4120">
          <cell r="B4120">
            <v>2020</v>
          </cell>
          <cell r="C4120">
            <v>13</v>
          </cell>
          <cell r="E4120" t="str">
            <v>SF</v>
          </cell>
          <cell r="I4120">
            <v>24</v>
          </cell>
          <cell r="J4120">
            <v>34</v>
          </cell>
          <cell r="L4120">
            <v>0</v>
          </cell>
        </row>
        <row r="4121">
          <cell r="B4121">
            <v>2020</v>
          </cell>
          <cell r="C4121">
            <v>14</v>
          </cell>
          <cell r="E4121" t="str">
            <v>SF</v>
          </cell>
          <cell r="I4121">
            <v>15</v>
          </cell>
          <cell r="J4121">
            <v>23</v>
          </cell>
          <cell r="L4121">
            <v>0</v>
          </cell>
        </row>
        <row r="4122">
          <cell r="B4122">
            <v>2020</v>
          </cell>
          <cell r="C4122">
            <v>15</v>
          </cell>
          <cell r="E4122" t="str">
            <v>SF</v>
          </cell>
          <cell r="I4122">
            <v>33</v>
          </cell>
          <cell r="J4122">
            <v>41</v>
          </cell>
          <cell r="L4122">
            <v>0</v>
          </cell>
        </row>
        <row r="4123">
          <cell r="B4123">
            <v>2020</v>
          </cell>
          <cell r="C4123">
            <v>16</v>
          </cell>
          <cell r="E4123" t="str">
            <v>SF</v>
          </cell>
          <cell r="I4123">
            <v>20</v>
          </cell>
          <cell r="J4123">
            <v>12</v>
          </cell>
          <cell r="L4123">
            <v>0</v>
          </cell>
        </row>
        <row r="4124">
          <cell r="B4124">
            <v>2020</v>
          </cell>
          <cell r="C4124">
            <v>17</v>
          </cell>
          <cell r="E4124" t="str">
            <v>SF</v>
          </cell>
          <cell r="I4124">
            <v>23</v>
          </cell>
          <cell r="J4124">
            <v>26</v>
          </cell>
          <cell r="L4124">
            <v>0</v>
          </cell>
        </row>
        <row r="4125">
          <cell r="B4125">
            <v>2021</v>
          </cell>
          <cell r="C4125">
            <v>1</v>
          </cell>
          <cell r="E4125" t="str">
            <v>SF</v>
          </cell>
          <cell r="I4125">
            <v>41</v>
          </cell>
          <cell r="J4125">
            <v>33</v>
          </cell>
          <cell r="L4125">
            <v>0</v>
          </cell>
        </row>
        <row r="4126">
          <cell r="B4126">
            <v>2021</v>
          </cell>
          <cell r="C4126">
            <v>2</v>
          </cell>
          <cell r="E4126" t="str">
            <v>SF</v>
          </cell>
          <cell r="I4126">
            <v>17</v>
          </cell>
          <cell r="J4126">
            <v>11</v>
          </cell>
          <cell r="L4126">
            <v>0</v>
          </cell>
        </row>
        <row r="4127">
          <cell r="B4127">
            <v>2021</v>
          </cell>
          <cell r="C4127">
            <v>3</v>
          </cell>
          <cell r="E4127" t="str">
            <v>SF</v>
          </cell>
          <cell r="I4127">
            <v>28</v>
          </cell>
          <cell r="J4127">
            <v>30</v>
          </cell>
          <cell r="L4127">
            <v>0</v>
          </cell>
        </row>
        <row r="4128">
          <cell r="B4128">
            <v>2021</v>
          </cell>
          <cell r="C4128">
            <v>4</v>
          </cell>
          <cell r="E4128" t="str">
            <v>SF</v>
          </cell>
          <cell r="I4128">
            <v>21</v>
          </cell>
          <cell r="J4128">
            <v>28</v>
          </cell>
          <cell r="L4128">
            <v>0</v>
          </cell>
        </row>
        <row r="4129">
          <cell r="B4129">
            <v>2021</v>
          </cell>
          <cell r="C4129">
            <v>5</v>
          </cell>
          <cell r="E4129" t="str">
            <v>SF</v>
          </cell>
          <cell r="I4129">
            <v>10</v>
          </cell>
          <cell r="J4129">
            <v>17</v>
          </cell>
          <cell r="L4129">
            <v>0</v>
          </cell>
        </row>
        <row r="4130">
          <cell r="B4130">
            <v>2021</v>
          </cell>
          <cell r="C4130">
            <v>7</v>
          </cell>
          <cell r="E4130" t="str">
            <v>SF</v>
          </cell>
          <cell r="I4130">
            <v>18</v>
          </cell>
          <cell r="J4130">
            <v>30</v>
          </cell>
          <cell r="L4130">
            <v>0</v>
          </cell>
        </row>
        <row r="4131">
          <cell r="B4131">
            <v>2021</v>
          </cell>
          <cell r="C4131">
            <v>8</v>
          </cell>
          <cell r="E4131" t="str">
            <v>SF</v>
          </cell>
          <cell r="I4131">
            <v>33</v>
          </cell>
          <cell r="J4131">
            <v>22</v>
          </cell>
          <cell r="L4131">
            <v>0</v>
          </cell>
        </row>
        <row r="4132">
          <cell r="B4132">
            <v>2021</v>
          </cell>
          <cell r="C4132">
            <v>9</v>
          </cell>
          <cell r="E4132" t="str">
            <v>SF</v>
          </cell>
          <cell r="I4132">
            <v>17</v>
          </cell>
          <cell r="J4132">
            <v>31</v>
          </cell>
          <cell r="L4132">
            <v>0</v>
          </cell>
        </row>
        <row r="4133">
          <cell r="B4133">
            <v>2021</v>
          </cell>
          <cell r="C4133">
            <v>10</v>
          </cell>
          <cell r="E4133" t="str">
            <v>SF</v>
          </cell>
          <cell r="I4133">
            <v>31</v>
          </cell>
          <cell r="J4133">
            <v>10</v>
          </cell>
          <cell r="L4133">
            <v>0</v>
          </cell>
        </row>
        <row r="4134">
          <cell r="B4134">
            <v>2021</v>
          </cell>
          <cell r="C4134">
            <v>11</v>
          </cell>
          <cell r="E4134" t="str">
            <v>SF</v>
          </cell>
          <cell r="I4134">
            <v>30</v>
          </cell>
          <cell r="J4134">
            <v>10</v>
          </cell>
          <cell r="L4134">
            <v>0</v>
          </cell>
        </row>
        <row r="4135">
          <cell r="B4135">
            <v>2021</v>
          </cell>
          <cell r="C4135">
            <v>12</v>
          </cell>
          <cell r="E4135" t="str">
            <v>SF</v>
          </cell>
          <cell r="I4135">
            <v>34</v>
          </cell>
          <cell r="J4135">
            <v>26</v>
          </cell>
          <cell r="L4135">
            <v>0</v>
          </cell>
        </row>
        <row r="4136">
          <cell r="B4136">
            <v>2021</v>
          </cell>
          <cell r="C4136">
            <v>13</v>
          </cell>
          <cell r="E4136" t="str">
            <v>SF</v>
          </cell>
          <cell r="I4136">
            <v>23</v>
          </cell>
          <cell r="J4136">
            <v>30</v>
          </cell>
          <cell r="L4136">
            <v>0</v>
          </cell>
        </row>
        <row r="4137">
          <cell r="B4137">
            <v>2021</v>
          </cell>
          <cell r="C4137">
            <v>14</v>
          </cell>
          <cell r="E4137" t="str">
            <v>SF</v>
          </cell>
          <cell r="I4137">
            <v>26</v>
          </cell>
          <cell r="J4137">
            <v>23</v>
          </cell>
          <cell r="L4137">
            <v>0</v>
          </cell>
        </row>
        <row r="4138">
          <cell r="B4138">
            <v>2021</v>
          </cell>
          <cell r="C4138">
            <v>15</v>
          </cell>
          <cell r="E4138" t="str">
            <v>SF</v>
          </cell>
          <cell r="I4138">
            <v>31</v>
          </cell>
          <cell r="J4138">
            <v>13</v>
          </cell>
          <cell r="L4138">
            <v>0</v>
          </cell>
        </row>
        <row r="4139">
          <cell r="B4139">
            <v>2021</v>
          </cell>
          <cell r="C4139">
            <v>16</v>
          </cell>
          <cell r="E4139" t="str">
            <v>SF</v>
          </cell>
          <cell r="I4139">
            <v>17</v>
          </cell>
          <cell r="J4139">
            <v>20</v>
          </cell>
          <cell r="L4139">
            <v>0</v>
          </cell>
        </row>
        <row r="4140">
          <cell r="B4140">
            <v>2021</v>
          </cell>
          <cell r="C4140">
            <v>17</v>
          </cell>
          <cell r="E4140" t="str">
            <v>SF</v>
          </cell>
          <cell r="I4140">
            <v>23</v>
          </cell>
          <cell r="J4140">
            <v>7</v>
          </cell>
          <cell r="L4140">
            <v>0</v>
          </cell>
        </row>
        <row r="4141">
          <cell r="B4141">
            <v>2021</v>
          </cell>
          <cell r="C4141">
            <v>18</v>
          </cell>
          <cell r="E4141" t="str">
            <v>SF</v>
          </cell>
          <cell r="I4141">
            <v>27</v>
          </cell>
          <cell r="J4141">
            <v>24</v>
          </cell>
          <cell r="L4141">
            <v>0</v>
          </cell>
        </row>
        <row r="4142">
          <cell r="B4142">
            <v>2021</v>
          </cell>
          <cell r="C4142">
            <v>1</v>
          </cell>
          <cell r="E4142" t="str">
            <v>SF</v>
          </cell>
          <cell r="I4142">
            <v>23</v>
          </cell>
          <cell r="J4142">
            <v>17</v>
          </cell>
          <cell r="L4142">
            <v>1</v>
          </cell>
        </row>
        <row r="4143">
          <cell r="B4143">
            <v>2021</v>
          </cell>
          <cell r="C4143">
            <v>2</v>
          </cell>
          <cell r="E4143" t="str">
            <v>SF</v>
          </cell>
          <cell r="I4143">
            <v>13</v>
          </cell>
          <cell r="J4143">
            <v>10</v>
          </cell>
          <cell r="L4143">
            <v>1</v>
          </cell>
        </row>
        <row r="4144">
          <cell r="B4144">
            <v>2021</v>
          </cell>
          <cell r="C4144">
            <v>3</v>
          </cell>
          <cell r="E4144" t="str">
            <v>SF</v>
          </cell>
          <cell r="I4144">
            <v>17</v>
          </cell>
          <cell r="J4144">
            <v>20</v>
          </cell>
          <cell r="L4144">
            <v>1</v>
          </cell>
        </row>
        <row r="4145">
          <cell r="B4145">
            <v>2022</v>
          </cell>
          <cell r="C4145">
            <v>1</v>
          </cell>
          <cell r="E4145" t="str">
            <v>SF</v>
          </cell>
          <cell r="I4145">
            <v>10</v>
          </cell>
          <cell r="J4145">
            <v>19</v>
          </cell>
          <cell r="L4145">
            <v>0</v>
          </cell>
        </row>
        <row r="4146">
          <cell r="B4146">
            <v>2022</v>
          </cell>
          <cell r="C4146">
            <v>2</v>
          </cell>
          <cell r="E4146" t="str">
            <v>SF</v>
          </cell>
          <cell r="I4146">
            <v>27</v>
          </cell>
          <cell r="J4146">
            <v>7</v>
          </cell>
          <cell r="L4146">
            <v>0</v>
          </cell>
        </row>
        <row r="4147">
          <cell r="B4147">
            <v>2022</v>
          </cell>
          <cell r="C4147">
            <v>3</v>
          </cell>
          <cell r="E4147" t="str">
            <v>SF</v>
          </cell>
          <cell r="I4147">
            <v>10</v>
          </cell>
          <cell r="J4147">
            <v>11</v>
          </cell>
          <cell r="L4147">
            <v>0</v>
          </cell>
        </row>
        <row r="4148">
          <cell r="B4148">
            <v>2022</v>
          </cell>
          <cell r="C4148">
            <v>4</v>
          </cell>
          <cell r="E4148" t="str">
            <v>SF</v>
          </cell>
          <cell r="I4148">
            <v>24</v>
          </cell>
          <cell r="J4148">
            <v>9</v>
          </cell>
          <cell r="L4148">
            <v>0</v>
          </cell>
        </row>
        <row r="4149">
          <cell r="B4149">
            <v>2022</v>
          </cell>
          <cell r="C4149">
            <v>5</v>
          </cell>
          <cell r="E4149" t="str">
            <v>SF</v>
          </cell>
          <cell r="I4149">
            <v>37</v>
          </cell>
          <cell r="J4149">
            <v>15</v>
          </cell>
          <cell r="L4149">
            <v>0</v>
          </cell>
        </row>
        <row r="4150">
          <cell r="B4150">
            <v>2022</v>
          </cell>
          <cell r="C4150">
            <v>6</v>
          </cell>
          <cell r="E4150" t="str">
            <v>SF</v>
          </cell>
          <cell r="I4150">
            <v>14</v>
          </cell>
          <cell r="J4150">
            <v>28</v>
          </cell>
          <cell r="L4150">
            <v>0</v>
          </cell>
        </row>
        <row r="4151">
          <cell r="B4151">
            <v>2022</v>
          </cell>
          <cell r="C4151">
            <v>7</v>
          </cell>
          <cell r="E4151" t="str">
            <v>SF</v>
          </cell>
          <cell r="I4151">
            <v>23</v>
          </cell>
          <cell r="J4151">
            <v>44</v>
          </cell>
          <cell r="L4151">
            <v>0</v>
          </cell>
        </row>
        <row r="4152">
          <cell r="B4152">
            <v>2022</v>
          </cell>
          <cell r="C4152">
            <v>8</v>
          </cell>
          <cell r="E4152" t="str">
            <v>SF</v>
          </cell>
          <cell r="I4152">
            <v>31</v>
          </cell>
          <cell r="J4152">
            <v>14</v>
          </cell>
          <cell r="L4152">
            <v>0</v>
          </cell>
        </row>
        <row r="4153">
          <cell r="B4153">
            <v>2022</v>
          </cell>
          <cell r="C4153">
            <v>10</v>
          </cell>
          <cell r="E4153" t="str">
            <v>SF</v>
          </cell>
          <cell r="I4153">
            <v>22</v>
          </cell>
          <cell r="J4153">
            <v>16</v>
          </cell>
          <cell r="L4153">
            <v>0</v>
          </cell>
        </row>
        <row r="4154">
          <cell r="B4154">
            <v>2022</v>
          </cell>
          <cell r="C4154">
            <v>11</v>
          </cell>
          <cell r="E4154" t="str">
            <v>SF</v>
          </cell>
          <cell r="I4154">
            <v>38</v>
          </cell>
          <cell r="J4154">
            <v>10</v>
          </cell>
          <cell r="L4154">
            <v>0</v>
          </cell>
        </row>
        <row r="4155">
          <cell r="B4155">
            <v>2022</v>
          </cell>
          <cell r="C4155">
            <v>12</v>
          </cell>
          <cell r="E4155" t="str">
            <v>SF</v>
          </cell>
          <cell r="I4155">
            <v>13</v>
          </cell>
          <cell r="J4155">
            <v>0</v>
          </cell>
          <cell r="L4155">
            <v>0</v>
          </cell>
        </row>
        <row r="4156">
          <cell r="B4156">
            <v>2022</v>
          </cell>
          <cell r="C4156">
            <v>13</v>
          </cell>
          <cell r="E4156" t="str">
            <v>SF</v>
          </cell>
          <cell r="I4156">
            <v>33</v>
          </cell>
          <cell r="J4156">
            <v>17</v>
          </cell>
          <cell r="L4156">
            <v>0</v>
          </cell>
        </row>
        <row r="4157">
          <cell r="B4157">
            <v>2022</v>
          </cell>
          <cell r="C4157">
            <v>14</v>
          </cell>
          <cell r="E4157" t="str">
            <v>SF</v>
          </cell>
          <cell r="I4157">
            <v>35</v>
          </cell>
          <cell r="J4157">
            <v>7</v>
          </cell>
          <cell r="L4157">
            <v>0</v>
          </cell>
        </row>
        <row r="4158">
          <cell r="B4158">
            <v>2022</v>
          </cell>
          <cell r="C4158">
            <v>15</v>
          </cell>
          <cell r="E4158" t="str">
            <v>SF</v>
          </cell>
          <cell r="I4158">
            <v>21</v>
          </cell>
          <cell r="J4158">
            <v>13</v>
          </cell>
          <cell r="L4158">
            <v>0</v>
          </cell>
        </row>
        <row r="4159">
          <cell r="B4159">
            <v>2022</v>
          </cell>
          <cell r="C4159">
            <v>16</v>
          </cell>
          <cell r="E4159" t="str">
            <v>SF</v>
          </cell>
          <cell r="I4159">
            <v>37</v>
          </cell>
          <cell r="J4159">
            <v>20</v>
          </cell>
          <cell r="L4159">
            <v>0</v>
          </cell>
        </row>
        <row r="4160">
          <cell r="B4160">
            <v>2022</v>
          </cell>
          <cell r="C4160">
            <v>17</v>
          </cell>
          <cell r="E4160" t="str">
            <v>SF</v>
          </cell>
          <cell r="I4160">
            <v>37</v>
          </cell>
          <cell r="J4160">
            <v>34</v>
          </cell>
          <cell r="L4160">
            <v>0</v>
          </cell>
        </row>
        <row r="4161">
          <cell r="B4161">
            <v>2022</v>
          </cell>
          <cell r="C4161">
            <v>18</v>
          </cell>
          <cell r="E4161" t="str">
            <v>SF</v>
          </cell>
          <cell r="I4161">
            <v>38</v>
          </cell>
          <cell r="J4161">
            <v>13</v>
          </cell>
          <cell r="L4161">
            <v>0</v>
          </cell>
        </row>
        <row r="4162">
          <cell r="B4162">
            <v>2022</v>
          </cell>
          <cell r="C4162">
            <v>1</v>
          </cell>
          <cell r="E4162" t="str">
            <v>SF</v>
          </cell>
          <cell r="I4162">
            <v>41</v>
          </cell>
          <cell r="J4162">
            <v>23</v>
          </cell>
          <cell r="L4162">
            <v>1</v>
          </cell>
        </row>
        <row r="4163">
          <cell r="B4163">
            <v>2022</v>
          </cell>
          <cell r="C4163">
            <v>2</v>
          </cell>
          <cell r="E4163" t="str">
            <v>SF</v>
          </cell>
          <cell r="I4163">
            <v>19</v>
          </cell>
          <cell r="J4163">
            <v>12</v>
          </cell>
          <cell r="L4163">
            <v>1</v>
          </cell>
        </row>
        <row r="4164">
          <cell r="B4164">
            <v>2022</v>
          </cell>
          <cell r="C4164">
            <v>3</v>
          </cell>
          <cell r="E4164" t="str">
            <v>SF</v>
          </cell>
          <cell r="I4164">
            <v>7</v>
          </cell>
          <cell r="J4164">
            <v>31</v>
          </cell>
          <cell r="L4164">
            <v>1</v>
          </cell>
        </row>
        <row r="4165">
          <cell r="B4165">
            <v>2023</v>
          </cell>
          <cell r="C4165">
            <v>1</v>
          </cell>
          <cell r="E4165" t="str">
            <v>SF</v>
          </cell>
          <cell r="I4165">
            <v>30</v>
          </cell>
          <cell r="J4165">
            <v>7</v>
          </cell>
          <cell r="L4165">
            <v>0</v>
          </cell>
        </row>
        <row r="4166">
          <cell r="B4166">
            <v>2023</v>
          </cell>
          <cell r="C4166">
            <v>2</v>
          </cell>
          <cell r="E4166" t="str">
            <v>SF</v>
          </cell>
          <cell r="I4166">
            <v>30</v>
          </cell>
          <cell r="J4166">
            <v>23</v>
          </cell>
          <cell r="L4166">
            <v>0</v>
          </cell>
        </row>
        <row r="4167">
          <cell r="B4167">
            <v>2023</v>
          </cell>
          <cell r="C4167">
            <v>3</v>
          </cell>
          <cell r="E4167" t="str">
            <v>SF</v>
          </cell>
          <cell r="I4167">
            <v>30</v>
          </cell>
          <cell r="J4167">
            <v>12</v>
          </cell>
          <cell r="L4167">
            <v>0</v>
          </cell>
        </row>
        <row r="4168">
          <cell r="B4168">
            <v>2023</v>
          </cell>
          <cell r="C4168">
            <v>4</v>
          </cell>
          <cell r="E4168" t="str">
            <v>SF</v>
          </cell>
          <cell r="I4168">
            <v>35</v>
          </cell>
          <cell r="J4168">
            <v>16</v>
          </cell>
          <cell r="L4168">
            <v>0</v>
          </cell>
        </row>
        <row r="4169">
          <cell r="B4169">
            <v>2023</v>
          </cell>
          <cell r="C4169">
            <v>5</v>
          </cell>
          <cell r="E4169" t="str">
            <v>SF</v>
          </cell>
          <cell r="I4169">
            <v>42</v>
          </cell>
          <cell r="J4169">
            <v>10</v>
          </cell>
          <cell r="L4169">
            <v>0</v>
          </cell>
        </row>
        <row r="4170">
          <cell r="B4170">
            <v>2023</v>
          </cell>
          <cell r="C4170">
            <v>6</v>
          </cell>
          <cell r="E4170" t="str">
            <v>SF</v>
          </cell>
          <cell r="I4170">
            <v>17</v>
          </cell>
          <cell r="J4170">
            <v>19</v>
          </cell>
          <cell r="L4170">
            <v>0</v>
          </cell>
        </row>
        <row r="4171">
          <cell r="B4171">
            <v>2023</v>
          </cell>
          <cell r="C4171">
            <v>7</v>
          </cell>
          <cell r="E4171" t="str">
            <v>SF</v>
          </cell>
          <cell r="I4171">
            <v>17</v>
          </cell>
          <cell r="J4171">
            <v>22</v>
          </cell>
          <cell r="L4171">
            <v>0</v>
          </cell>
        </row>
        <row r="4172">
          <cell r="B4172">
            <v>2023</v>
          </cell>
          <cell r="C4172">
            <v>8</v>
          </cell>
          <cell r="E4172" t="str">
            <v>SF</v>
          </cell>
          <cell r="I4172">
            <v>17</v>
          </cell>
          <cell r="J4172">
            <v>31</v>
          </cell>
          <cell r="L4172">
            <v>0</v>
          </cell>
        </row>
        <row r="4173">
          <cell r="B4173">
            <v>2023</v>
          </cell>
          <cell r="C4173">
            <v>10</v>
          </cell>
          <cell r="E4173" t="str">
            <v>SF</v>
          </cell>
          <cell r="I4173">
            <v>34</v>
          </cell>
          <cell r="J4173">
            <v>3</v>
          </cell>
          <cell r="L4173">
            <v>0</v>
          </cell>
        </row>
        <row r="4174">
          <cell r="B4174">
            <v>2023</v>
          </cell>
          <cell r="C4174">
            <v>11</v>
          </cell>
          <cell r="E4174" t="str">
            <v>SF</v>
          </cell>
          <cell r="I4174">
            <v>27</v>
          </cell>
          <cell r="J4174">
            <v>14</v>
          </cell>
          <cell r="L4174">
            <v>0</v>
          </cell>
        </row>
        <row r="4175">
          <cell r="B4175">
            <v>2023</v>
          </cell>
          <cell r="C4175">
            <v>12</v>
          </cell>
          <cell r="E4175" t="str">
            <v>SF</v>
          </cell>
          <cell r="I4175">
            <v>31</v>
          </cell>
          <cell r="J4175">
            <v>13</v>
          </cell>
          <cell r="L4175">
            <v>0</v>
          </cell>
        </row>
        <row r="4176">
          <cell r="B4176">
            <v>2023</v>
          </cell>
          <cell r="C4176">
            <v>13</v>
          </cell>
          <cell r="E4176" t="str">
            <v>SF</v>
          </cell>
          <cell r="I4176">
            <v>42</v>
          </cell>
          <cell r="J4176">
            <v>19</v>
          </cell>
          <cell r="L4176">
            <v>0</v>
          </cell>
        </row>
        <row r="4177">
          <cell r="B4177">
            <v>2023</v>
          </cell>
          <cell r="C4177">
            <v>14</v>
          </cell>
          <cell r="E4177" t="str">
            <v>SF</v>
          </cell>
          <cell r="I4177">
            <v>28</v>
          </cell>
          <cell r="J4177">
            <v>16</v>
          </cell>
          <cell r="L4177">
            <v>0</v>
          </cell>
        </row>
        <row r="4178">
          <cell r="B4178">
            <v>2023</v>
          </cell>
          <cell r="C4178">
            <v>15</v>
          </cell>
          <cell r="E4178" t="str">
            <v>SF</v>
          </cell>
          <cell r="I4178">
            <v>45</v>
          </cell>
          <cell r="J4178">
            <v>29</v>
          </cell>
          <cell r="L4178">
            <v>0</v>
          </cell>
        </row>
        <row r="4179">
          <cell r="B4179">
            <v>2023</v>
          </cell>
          <cell r="C4179">
            <v>16</v>
          </cell>
          <cell r="E4179" t="str">
            <v>SF</v>
          </cell>
          <cell r="I4179">
            <v>19</v>
          </cell>
          <cell r="J4179">
            <v>33</v>
          </cell>
          <cell r="L4179">
            <v>0</v>
          </cell>
        </row>
        <row r="4180">
          <cell r="B4180">
            <v>2023</v>
          </cell>
          <cell r="C4180">
            <v>17</v>
          </cell>
          <cell r="E4180" t="str">
            <v>SF</v>
          </cell>
          <cell r="I4180">
            <v>27</v>
          </cell>
          <cell r="J4180">
            <v>10</v>
          </cell>
          <cell r="L4180">
            <v>0</v>
          </cell>
        </row>
        <row r="4181">
          <cell r="B4181">
            <v>2023</v>
          </cell>
          <cell r="C4181">
            <v>18</v>
          </cell>
          <cell r="E4181" t="str">
            <v>SF</v>
          </cell>
          <cell r="I4181">
            <v>20</v>
          </cell>
          <cell r="J4181">
            <v>21</v>
          </cell>
          <cell r="L4181">
            <v>0</v>
          </cell>
        </row>
        <row r="4182">
          <cell r="B4182">
            <v>2023</v>
          </cell>
          <cell r="C4182">
            <v>2</v>
          </cell>
          <cell r="E4182" t="str">
            <v>SF</v>
          </cell>
          <cell r="I4182">
            <v>24</v>
          </cell>
          <cell r="J4182">
            <v>21</v>
          </cell>
          <cell r="L4182">
            <v>1</v>
          </cell>
        </row>
        <row r="4183">
          <cell r="B4183">
            <v>2023</v>
          </cell>
          <cell r="C4183">
            <v>3</v>
          </cell>
          <cell r="E4183" t="str">
            <v>SF</v>
          </cell>
          <cell r="I4183">
            <v>34</v>
          </cell>
          <cell r="J4183">
            <v>31</v>
          </cell>
          <cell r="L4183">
            <v>1</v>
          </cell>
        </row>
        <row r="4184">
          <cell r="B4184">
            <v>2023</v>
          </cell>
          <cell r="C4184">
            <v>5</v>
          </cell>
          <cell r="E4184" t="str">
            <v>SF</v>
          </cell>
          <cell r="I4184">
            <v>22</v>
          </cell>
          <cell r="J4184">
            <v>25</v>
          </cell>
          <cell r="L4184">
            <v>1</v>
          </cell>
        </row>
        <row r="4185">
          <cell r="B4185">
            <v>2024</v>
          </cell>
          <cell r="C4185">
            <v>1</v>
          </cell>
          <cell r="E4185" t="str">
            <v>SF</v>
          </cell>
          <cell r="I4185">
            <v>32</v>
          </cell>
          <cell r="J4185">
            <v>19</v>
          </cell>
          <cell r="L4185">
            <v>0</v>
          </cell>
        </row>
        <row r="4186">
          <cell r="B4186">
            <v>2024</v>
          </cell>
          <cell r="C4186">
            <v>2</v>
          </cell>
          <cell r="E4186" t="str">
            <v>SF</v>
          </cell>
          <cell r="I4186">
            <v>17</v>
          </cell>
          <cell r="J4186">
            <v>23</v>
          </cell>
          <cell r="L4186">
            <v>0</v>
          </cell>
        </row>
        <row r="4187">
          <cell r="B4187">
            <v>2024</v>
          </cell>
          <cell r="C4187">
            <v>3</v>
          </cell>
          <cell r="E4187" t="str">
            <v>SF</v>
          </cell>
          <cell r="I4187">
            <v>24</v>
          </cell>
          <cell r="J4187">
            <v>27</v>
          </cell>
          <cell r="L4187">
            <v>0</v>
          </cell>
        </row>
        <row r="4188">
          <cell r="B4188">
            <v>2024</v>
          </cell>
          <cell r="C4188">
            <v>4</v>
          </cell>
          <cell r="E4188" t="str">
            <v>SF</v>
          </cell>
          <cell r="I4188">
            <v>30</v>
          </cell>
          <cell r="J4188">
            <v>13</v>
          </cell>
          <cell r="L4188">
            <v>0</v>
          </cell>
        </row>
        <row r="4189">
          <cell r="B4189">
            <v>2024</v>
          </cell>
          <cell r="C4189">
            <v>5</v>
          </cell>
          <cell r="E4189" t="str">
            <v>SF</v>
          </cell>
          <cell r="I4189">
            <v>23</v>
          </cell>
          <cell r="J4189">
            <v>24</v>
          </cell>
          <cell r="L4189">
            <v>0</v>
          </cell>
        </row>
        <row r="4190">
          <cell r="B4190">
            <v>2024</v>
          </cell>
          <cell r="C4190">
            <v>6</v>
          </cell>
          <cell r="E4190" t="str">
            <v>SF</v>
          </cell>
          <cell r="I4190">
            <v>36</v>
          </cell>
          <cell r="J4190">
            <v>24</v>
          </cell>
          <cell r="L4190">
            <v>0</v>
          </cell>
        </row>
        <row r="4191">
          <cell r="B4191">
            <v>2024</v>
          </cell>
          <cell r="C4191">
            <v>7</v>
          </cell>
          <cell r="E4191" t="str">
            <v>SF</v>
          </cell>
          <cell r="I4191">
            <v>18</v>
          </cell>
          <cell r="J4191">
            <v>28</v>
          </cell>
          <cell r="L4191">
            <v>0</v>
          </cell>
        </row>
        <row r="4192">
          <cell r="B4192">
            <v>2024</v>
          </cell>
          <cell r="C4192">
            <v>8</v>
          </cell>
          <cell r="E4192" t="str">
            <v>SF</v>
          </cell>
          <cell r="I4192">
            <v>30</v>
          </cell>
          <cell r="J4192">
            <v>24</v>
          </cell>
          <cell r="L4192">
            <v>0</v>
          </cell>
        </row>
        <row r="4193">
          <cell r="B4193">
            <v>2024</v>
          </cell>
          <cell r="C4193">
            <v>10</v>
          </cell>
          <cell r="E4193" t="str">
            <v>SF</v>
          </cell>
          <cell r="I4193">
            <v>23</v>
          </cell>
          <cell r="J4193">
            <v>20</v>
          </cell>
          <cell r="L4193">
            <v>0</v>
          </cell>
        </row>
        <row r="4194">
          <cell r="B4194">
            <v>2024</v>
          </cell>
          <cell r="C4194">
            <v>11</v>
          </cell>
          <cell r="E4194" t="str">
            <v>SF</v>
          </cell>
          <cell r="I4194">
            <v>17</v>
          </cell>
          <cell r="J4194">
            <v>20</v>
          </cell>
          <cell r="L4194">
            <v>0</v>
          </cell>
        </row>
        <row r="4195">
          <cell r="B4195">
            <v>2024</v>
          </cell>
          <cell r="C4195">
            <v>12</v>
          </cell>
          <cell r="E4195" t="str">
            <v>SF</v>
          </cell>
          <cell r="I4195">
            <v>10</v>
          </cell>
          <cell r="J4195">
            <v>38</v>
          </cell>
          <cell r="L4195">
            <v>0</v>
          </cell>
        </row>
        <row r="4196">
          <cell r="B4196">
            <v>2024</v>
          </cell>
          <cell r="C4196">
            <v>13</v>
          </cell>
          <cell r="E4196" t="str">
            <v>SF</v>
          </cell>
          <cell r="I4196">
            <v>10</v>
          </cell>
          <cell r="J4196">
            <v>35</v>
          </cell>
          <cell r="L4196">
            <v>0</v>
          </cell>
        </row>
        <row r="4197">
          <cell r="B4197">
            <v>2024</v>
          </cell>
          <cell r="C4197">
            <v>14</v>
          </cell>
          <cell r="E4197" t="str">
            <v>SF</v>
          </cell>
          <cell r="I4197">
            <v>38</v>
          </cell>
          <cell r="J4197">
            <v>13</v>
          </cell>
          <cell r="L4197">
            <v>0</v>
          </cell>
        </row>
        <row r="4198">
          <cell r="B4198">
            <v>2024</v>
          </cell>
          <cell r="C4198">
            <v>15</v>
          </cell>
          <cell r="E4198" t="str">
            <v>SF</v>
          </cell>
          <cell r="I4198">
            <v>6</v>
          </cell>
          <cell r="J4198">
            <v>12</v>
          </cell>
          <cell r="L4198">
            <v>0</v>
          </cell>
        </row>
        <row r="4199">
          <cell r="B4199">
            <v>2024</v>
          </cell>
          <cell r="C4199">
            <v>16</v>
          </cell>
          <cell r="E4199" t="str">
            <v>SF</v>
          </cell>
          <cell r="I4199">
            <v>17</v>
          </cell>
          <cell r="J4199">
            <v>29</v>
          </cell>
          <cell r="L4199">
            <v>0</v>
          </cell>
        </row>
        <row r="4200">
          <cell r="B4200">
            <v>2024</v>
          </cell>
          <cell r="C4200">
            <v>17</v>
          </cell>
          <cell r="E4200" t="str">
            <v>SF</v>
          </cell>
          <cell r="I4200">
            <v>34</v>
          </cell>
          <cell r="J4200">
            <v>40</v>
          </cell>
          <cell r="L4200">
            <v>0</v>
          </cell>
        </row>
        <row r="4201">
          <cell r="B4201">
            <v>2024</v>
          </cell>
          <cell r="C4201">
            <v>18</v>
          </cell>
          <cell r="E4201" t="str">
            <v>SF</v>
          </cell>
          <cell r="I4201">
            <v>24</v>
          </cell>
          <cell r="J4201">
            <v>47</v>
          </cell>
          <cell r="L4201">
            <v>0</v>
          </cell>
        </row>
        <row r="4202">
          <cell r="B4202">
            <v>2025</v>
          </cell>
          <cell r="C4202">
            <v>1</v>
          </cell>
          <cell r="E4202" t="str">
            <v>SF</v>
          </cell>
          <cell r="I4202">
            <v>17</v>
          </cell>
          <cell r="J4202">
            <v>13</v>
          </cell>
          <cell r="L4202">
            <v>0</v>
          </cell>
        </row>
        <row r="4203">
          <cell r="B4203">
            <v>2025</v>
          </cell>
          <cell r="C4203">
            <v>2</v>
          </cell>
          <cell r="E4203" t="str">
            <v>SF</v>
          </cell>
          <cell r="I4203">
            <v>26</v>
          </cell>
          <cell r="J4203">
            <v>21</v>
          </cell>
          <cell r="L4203">
            <v>0</v>
          </cell>
        </row>
        <row r="4204">
          <cell r="B4204">
            <v>2025</v>
          </cell>
          <cell r="C4204">
            <v>3</v>
          </cell>
          <cell r="E4204" t="str">
            <v>SF</v>
          </cell>
          <cell r="I4204">
            <v>16</v>
          </cell>
          <cell r="J4204">
            <v>15</v>
          </cell>
          <cell r="L4204">
            <v>0</v>
          </cell>
        </row>
        <row r="4205">
          <cell r="B4205">
            <v>2025</v>
          </cell>
          <cell r="C4205">
            <v>4</v>
          </cell>
          <cell r="E4205" t="str">
            <v>SF</v>
          </cell>
          <cell r="I4205">
            <v>21</v>
          </cell>
          <cell r="J4205">
            <v>26</v>
          </cell>
          <cell r="L4205">
            <v>0</v>
          </cell>
        </row>
        <row r="4206">
          <cell r="B4206">
            <v>2025</v>
          </cell>
          <cell r="C4206">
            <v>5</v>
          </cell>
          <cell r="E4206" t="str">
            <v>SF</v>
          </cell>
          <cell r="I4206">
            <v>26</v>
          </cell>
          <cell r="J4206">
            <v>23</v>
          </cell>
          <cell r="L4206">
            <v>0</v>
          </cell>
        </row>
        <row r="4207">
          <cell r="B4207">
            <v>2025</v>
          </cell>
          <cell r="C4207">
            <v>6</v>
          </cell>
          <cell r="E4207" t="str">
            <v>SF</v>
          </cell>
          <cell r="I4207">
            <v>19</v>
          </cell>
          <cell r="J4207">
            <v>30</v>
          </cell>
          <cell r="L4207">
            <v>0</v>
          </cell>
        </row>
        <row r="4208">
          <cell r="B4208">
            <v>2025</v>
          </cell>
          <cell r="C4208">
            <v>7</v>
          </cell>
          <cell r="E4208" t="str">
            <v>SF</v>
          </cell>
          <cell r="I4208">
            <v>20</v>
          </cell>
          <cell r="J4208">
            <v>10</v>
          </cell>
          <cell r="L4208">
            <v>0</v>
          </cell>
        </row>
        <row r="4209">
          <cell r="B4209">
            <v>2025</v>
          </cell>
          <cell r="C4209">
            <v>8</v>
          </cell>
          <cell r="E4209" t="str">
            <v>SF</v>
          </cell>
          <cell r="I4209">
            <v>15</v>
          </cell>
          <cell r="J4209">
            <v>26</v>
          </cell>
          <cell r="L4209">
            <v>0</v>
          </cell>
        </row>
        <row r="4210">
          <cell r="B4210">
            <v>2025</v>
          </cell>
          <cell r="C4210">
            <v>9</v>
          </cell>
          <cell r="E4210" t="str">
            <v>SF</v>
          </cell>
          <cell r="I4210">
            <v>34</v>
          </cell>
          <cell r="J4210">
            <v>24</v>
          </cell>
          <cell r="L4210">
            <v>0</v>
          </cell>
        </row>
        <row r="4211">
          <cell r="B4211">
            <v>2025</v>
          </cell>
          <cell r="C4211">
            <v>10</v>
          </cell>
          <cell r="E4211" t="str">
            <v>SF</v>
          </cell>
          <cell r="I4211">
            <v>26</v>
          </cell>
          <cell r="J4211">
            <v>42</v>
          </cell>
          <cell r="L4211">
            <v>0</v>
          </cell>
        </row>
        <row r="4212">
          <cell r="B4212">
            <v>2025</v>
          </cell>
          <cell r="C4212">
            <v>11</v>
          </cell>
          <cell r="E4212" t="str">
            <v>SF</v>
          </cell>
          <cell r="I4212">
            <v>41</v>
          </cell>
          <cell r="J4212">
            <v>22</v>
          </cell>
          <cell r="L4212">
            <v>0</v>
          </cell>
        </row>
        <row r="4213">
          <cell r="B4213">
            <v>2025</v>
          </cell>
          <cell r="C4213">
            <v>12</v>
          </cell>
          <cell r="E4213" t="str">
            <v>SF</v>
          </cell>
          <cell r="I4213">
            <v>20</v>
          </cell>
          <cell r="J4213">
            <v>9</v>
          </cell>
          <cell r="L4213">
            <v>0</v>
          </cell>
        </row>
        <row r="4214">
          <cell r="B4214">
            <v>2025</v>
          </cell>
          <cell r="C4214">
            <v>13</v>
          </cell>
          <cell r="E4214" t="str">
            <v>SF</v>
          </cell>
          <cell r="I4214">
            <v>26</v>
          </cell>
          <cell r="J4214">
            <v>8</v>
          </cell>
          <cell r="L4214">
            <v>0</v>
          </cell>
        </row>
        <row r="4215">
          <cell r="B4215">
            <v>2025</v>
          </cell>
          <cell r="C4215">
            <v>15</v>
          </cell>
          <cell r="E4215" t="str">
            <v>SF</v>
          </cell>
          <cell r="I4215">
            <v>37</v>
          </cell>
          <cell r="J4215">
            <v>24</v>
          </cell>
          <cell r="L4215">
            <v>0</v>
          </cell>
        </row>
        <row r="4216">
          <cell r="B4216">
            <v>2025</v>
          </cell>
          <cell r="C4216">
            <v>16</v>
          </cell>
          <cell r="E4216" t="str">
            <v>SF</v>
          </cell>
          <cell r="I4216">
            <v>48</v>
          </cell>
          <cell r="J4216">
            <v>27</v>
          </cell>
          <cell r="L4216">
            <v>0</v>
          </cell>
        </row>
        <row r="4217">
          <cell r="B4217">
            <v>2025</v>
          </cell>
          <cell r="C4217">
            <v>17</v>
          </cell>
          <cell r="E4217" t="str">
            <v>SF</v>
          </cell>
          <cell r="I4217">
            <v>42</v>
          </cell>
          <cell r="J4217">
            <v>38</v>
          </cell>
          <cell r="L4217">
            <v>0</v>
          </cell>
        </row>
        <row r="4218">
          <cell r="B4218">
            <v>2025</v>
          </cell>
          <cell r="C4218">
            <v>18</v>
          </cell>
          <cell r="E4218" t="str">
            <v>SF</v>
          </cell>
          <cell r="I4218">
            <v>3</v>
          </cell>
          <cell r="J4218">
            <v>13</v>
          </cell>
          <cell r="L4218">
            <v>0</v>
          </cell>
        </row>
        <row r="4219">
          <cell r="B4219">
            <v>2025</v>
          </cell>
          <cell r="C4219">
            <v>1</v>
          </cell>
          <cell r="E4219" t="str">
            <v>SF</v>
          </cell>
          <cell r="I4219">
            <v>23</v>
          </cell>
          <cell r="J4219">
            <v>19</v>
          </cell>
          <cell r="L4219">
            <v>1</v>
          </cell>
        </row>
        <row r="4220">
          <cell r="B4220">
            <v>2025</v>
          </cell>
          <cell r="C4220">
            <v>2</v>
          </cell>
          <cell r="E4220" t="str">
            <v>SF</v>
          </cell>
          <cell r="I4220">
            <v>6</v>
          </cell>
          <cell r="J4220">
            <v>41</v>
          </cell>
          <cell r="L4220">
            <v>1</v>
          </cell>
        </row>
        <row r="4221">
          <cell r="B4221">
            <v>2026</v>
          </cell>
          <cell r="C4221">
            <v>1</v>
          </cell>
          <cell r="E4221" t="str">
            <v>SF</v>
          </cell>
          <cell r="I4221">
            <v>27</v>
          </cell>
          <cell r="J4221">
            <v>7</v>
          </cell>
          <cell r="L4221">
            <v>0</v>
          </cell>
        </row>
        <row r="4222">
          <cell r="B4222">
            <v>2026</v>
          </cell>
          <cell r="C4222">
            <v>2</v>
          </cell>
          <cell r="E4222" t="str">
            <v>SF</v>
          </cell>
          <cell r="I4222">
            <v>35</v>
          </cell>
          <cell r="J4222">
            <v>13</v>
          </cell>
          <cell r="L4222">
            <v>0</v>
          </cell>
        </row>
        <row r="4223">
          <cell r="B4223">
            <v>2026</v>
          </cell>
          <cell r="C4223">
            <v>3</v>
          </cell>
          <cell r="E4223" t="str">
            <v>SF</v>
          </cell>
          <cell r="I4223">
            <v>36</v>
          </cell>
          <cell r="J4223">
            <v>30</v>
          </cell>
          <cell r="L4223">
            <v>0</v>
          </cell>
        </row>
        <row r="4224">
          <cell r="B4224">
            <v>2026</v>
          </cell>
          <cell r="C4224">
            <v>4</v>
          </cell>
          <cell r="E4224" t="str">
            <v>SF</v>
          </cell>
          <cell r="I4224">
            <v>24</v>
          </cell>
          <cell r="J4224">
            <v>14</v>
          </cell>
          <cell r="L4224">
            <v>0</v>
          </cell>
        </row>
        <row r="4225">
          <cell r="B4225">
            <v>2026</v>
          </cell>
          <cell r="C4225">
            <v>5</v>
          </cell>
          <cell r="E4225" t="str">
            <v>SF</v>
          </cell>
          <cell r="I4225">
            <v>32</v>
          </cell>
          <cell r="J4225">
            <v>29</v>
          </cell>
          <cell r="L4225">
            <v>0</v>
          </cell>
        </row>
        <row r="4226">
          <cell r="B4226">
            <v>2026</v>
          </cell>
          <cell r="C4226">
            <v>6</v>
          </cell>
          <cell r="E4226" t="str">
            <v>SF</v>
          </cell>
          <cell r="I4226">
            <v>23</v>
          </cell>
          <cell r="J4226">
            <v>17</v>
          </cell>
          <cell r="L4226">
            <v>0</v>
          </cell>
        </row>
        <row r="4227">
          <cell r="B4227">
            <v>2026</v>
          </cell>
          <cell r="C4227">
            <v>7</v>
          </cell>
          <cell r="E4227" t="str">
            <v>SF</v>
          </cell>
          <cell r="L4227">
            <v>0</v>
          </cell>
        </row>
        <row r="4228">
          <cell r="B4228">
            <v>2018</v>
          </cell>
          <cell r="C4228">
            <v>1</v>
          </cell>
          <cell r="E4228" t="str">
            <v>SEA</v>
          </cell>
          <cell r="I4228">
            <v>24</v>
          </cell>
          <cell r="J4228">
            <v>27</v>
          </cell>
          <cell r="L4228">
            <v>0</v>
          </cell>
        </row>
        <row r="4229">
          <cell r="B4229">
            <v>2018</v>
          </cell>
          <cell r="C4229">
            <v>2</v>
          </cell>
          <cell r="E4229" t="str">
            <v>SEA</v>
          </cell>
          <cell r="I4229">
            <v>17</v>
          </cell>
          <cell r="J4229">
            <v>24</v>
          </cell>
          <cell r="L4229">
            <v>0</v>
          </cell>
        </row>
        <row r="4230">
          <cell r="B4230">
            <v>2018</v>
          </cell>
          <cell r="C4230">
            <v>3</v>
          </cell>
          <cell r="E4230" t="str">
            <v>SEA</v>
          </cell>
          <cell r="I4230">
            <v>24</v>
          </cell>
          <cell r="J4230">
            <v>13</v>
          </cell>
          <cell r="L4230">
            <v>0</v>
          </cell>
        </row>
        <row r="4231">
          <cell r="B4231">
            <v>2018</v>
          </cell>
          <cell r="C4231">
            <v>4</v>
          </cell>
          <cell r="E4231" t="str">
            <v>SEA</v>
          </cell>
          <cell r="I4231">
            <v>20</v>
          </cell>
          <cell r="J4231">
            <v>17</v>
          </cell>
          <cell r="L4231">
            <v>0</v>
          </cell>
        </row>
        <row r="4232">
          <cell r="B4232">
            <v>2018</v>
          </cell>
          <cell r="C4232">
            <v>5</v>
          </cell>
          <cell r="E4232" t="str">
            <v>SEA</v>
          </cell>
          <cell r="I4232">
            <v>31</v>
          </cell>
          <cell r="J4232">
            <v>33</v>
          </cell>
          <cell r="L4232">
            <v>0</v>
          </cell>
        </row>
        <row r="4233">
          <cell r="B4233">
            <v>2018</v>
          </cell>
          <cell r="C4233">
            <v>6</v>
          </cell>
          <cell r="E4233" t="str">
            <v>SEA</v>
          </cell>
          <cell r="I4233">
            <v>27</v>
          </cell>
          <cell r="J4233">
            <v>3</v>
          </cell>
          <cell r="L4233">
            <v>0</v>
          </cell>
        </row>
        <row r="4234">
          <cell r="B4234">
            <v>2018</v>
          </cell>
          <cell r="C4234">
            <v>8</v>
          </cell>
          <cell r="E4234" t="str">
            <v>SEA</v>
          </cell>
          <cell r="I4234">
            <v>28</v>
          </cell>
          <cell r="J4234">
            <v>14</v>
          </cell>
          <cell r="L4234">
            <v>0</v>
          </cell>
        </row>
        <row r="4235">
          <cell r="B4235">
            <v>2018</v>
          </cell>
          <cell r="C4235">
            <v>9</v>
          </cell>
          <cell r="E4235" t="str">
            <v>SEA</v>
          </cell>
          <cell r="I4235">
            <v>17</v>
          </cell>
          <cell r="J4235">
            <v>25</v>
          </cell>
          <cell r="L4235">
            <v>0</v>
          </cell>
        </row>
        <row r="4236">
          <cell r="B4236">
            <v>2018</v>
          </cell>
          <cell r="C4236">
            <v>10</v>
          </cell>
          <cell r="E4236" t="str">
            <v>SEA</v>
          </cell>
          <cell r="I4236">
            <v>31</v>
          </cell>
          <cell r="J4236">
            <v>36</v>
          </cell>
          <cell r="L4236">
            <v>0</v>
          </cell>
        </row>
        <row r="4237">
          <cell r="B4237">
            <v>2018</v>
          </cell>
          <cell r="C4237">
            <v>11</v>
          </cell>
          <cell r="E4237" t="str">
            <v>SEA</v>
          </cell>
          <cell r="I4237">
            <v>27</v>
          </cell>
          <cell r="J4237">
            <v>24</v>
          </cell>
          <cell r="L4237">
            <v>0</v>
          </cell>
        </row>
        <row r="4238">
          <cell r="B4238">
            <v>2018</v>
          </cell>
          <cell r="C4238">
            <v>12</v>
          </cell>
          <cell r="E4238" t="str">
            <v>SEA</v>
          </cell>
          <cell r="I4238">
            <v>30</v>
          </cell>
          <cell r="J4238">
            <v>27</v>
          </cell>
          <cell r="L4238">
            <v>0</v>
          </cell>
        </row>
        <row r="4239">
          <cell r="B4239">
            <v>2018</v>
          </cell>
          <cell r="C4239">
            <v>13</v>
          </cell>
          <cell r="E4239" t="str">
            <v>SEA</v>
          </cell>
          <cell r="I4239">
            <v>43</v>
          </cell>
          <cell r="J4239">
            <v>16</v>
          </cell>
          <cell r="L4239">
            <v>0</v>
          </cell>
        </row>
        <row r="4240">
          <cell r="B4240">
            <v>2018</v>
          </cell>
          <cell r="C4240">
            <v>14</v>
          </cell>
          <cell r="E4240" t="str">
            <v>SEA</v>
          </cell>
          <cell r="I4240">
            <v>21</v>
          </cell>
          <cell r="J4240">
            <v>7</v>
          </cell>
          <cell r="L4240">
            <v>0</v>
          </cell>
        </row>
        <row r="4241">
          <cell r="B4241">
            <v>2018</v>
          </cell>
          <cell r="C4241">
            <v>15</v>
          </cell>
          <cell r="E4241" t="str">
            <v>SEA</v>
          </cell>
          <cell r="I4241">
            <v>23</v>
          </cell>
          <cell r="J4241">
            <v>26</v>
          </cell>
          <cell r="L4241">
            <v>0</v>
          </cell>
        </row>
        <row r="4242">
          <cell r="B4242">
            <v>2018</v>
          </cell>
          <cell r="C4242">
            <v>16</v>
          </cell>
          <cell r="E4242" t="str">
            <v>SEA</v>
          </cell>
          <cell r="I4242">
            <v>38</v>
          </cell>
          <cell r="J4242">
            <v>31</v>
          </cell>
          <cell r="L4242">
            <v>0</v>
          </cell>
        </row>
        <row r="4243">
          <cell r="B4243">
            <v>2018</v>
          </cell>
          <cell r="C4243">
            <v>17</v>
          </cell>
          <cell r="E4243" t="str">
            <v>SEA</v>
          </cell>
          <cell r="I4243">
            <v>27</v>
          </cell>
          <cell r="J4243">
            <v>24</v>
          </cell>
          <cell r="L4243">
            <v>0</v>
          </cell>
        </row>
        <row r="4244">
          <cell r="B4244">
            <v>2018</v>
          </cell>
          <cell r="C4244">
            <v>1</v>
          </cell>
          <cell r="E4244" t="str">
            <v>SEA</v>
          </cell>
          <cell r="I4244">
            <v>22</v>
          </cell>
          <cell r="J4244">
            <v>24</v>
          </cell>
          <cell r="L4244">
            <v>1</v>
          </cell>
        </row>
        <row r="4245">
          <cell r="B4245">
            <v>2019</v>
          </cell>
          <cell r="C4245">
            <v>1</v>
          </cell>
          <cell r="E4245" t="str">
            <v>SEA</v>
          </cell>
          <cell r="I4245">
            <v>21</v>
          </cell>
          <cell r="J4245">
            <v>20</v>
          </cell>
          <cell r="L4245">
            <v>0</v>
          </cell>
        </row>
        <row r="4246">
          <cell r="B4246">
            <v>2019</v>
          </cell>
          <cell r="C4246">
            <v>2</v>
          </cell>
          <cell r="E4246" t="str">
            <v>SEA</v>
          </cell>
          <cell r="I4246">
            <v>28</v>
          </cell>
          <cell r="J4246">
            <v>26</v>
          </cell>
          <cell r="L4246">
            <v>0</v>
          </cell>
        </row>
        <row r="4247">
          <cell r="B4247">
            <v>2019</v>
          </cell>
          <cell r="C4247">
            <v>3</v>
          </cell>
          <cell r="E4247" t="str">
            <v>SEA</v>
          </cell>
          <cell r="I4247">
            <v>27</v>
          </cell>
          <cell r="J4247">
            <v>33</v>
          </cell>
          <cell r="L4247">
            <v>0</v>
          </cell>
        </row>
        <row r="4248">
          <cell r="B4248">
            <v>2019</v>
          </cell>
          <cell r="C4248">
            <v>4</v>
          </cell>
          <cell r="E4248" t="str">
            <v>SEA</v>
          </cell>
          <cell r="I4248">
            <v>27</v>
          </cell>
          <cell r="J4248">
            <v>10</v>
          </cell>
          <cell r="L4248">
            <v>0</v>
          </cell>
        </row>
        <row r="4249">
          <cell r="B4249">
            <v>2019</v>
          </cell>
          <cell r="C4249">
            <v>5</v>
          </cell>
          <cell r="E4249" t="str">
            <v>SEA</v>
          </cell>
          <cell r="I4249">
            <v>30</v>
          </cell>
          <cell r="J4249">
            <v>29</v>
          </cell>
          <cell r="L4249">
            <v>0</v>
          </cell>
        </row>
        <row r="4250">
          <cell r="B4250">
            <v>2019</v>
          </cell>
          <cell r="C4250">
            <v>6</v>
          </cell>
          <cell r="E4250" t="str">
            <v>SEA</v>
          </cell>
          <cell r="I4250">
            <v>32</v>
          </cell>
          <cell r="J4250">
            <v>28</v>
          </cell>
          <cell r="L4250">
            <v>0</v>
          </cell>
        </row>
        <row r="4251">
          <cell r="B4251">
            <v>2019</v>
          </cell>
          <cell r="C4251">
            <v>7</v>
          </cell>
          <cell r="E4251" t="str">
            <v>SEA</v>
          </cell>
          <cell r="I4251">
            <v>16</v>
          </cell>
          <cell r="J4251">
            <v>30</v>
          </cell>
          <cell r="L4251">
            <v>0</v>
          </cell>
        </row>
        <row r="4252">
          <cell r="B4252">
            <v>2019</v>
          </cell>
          <cell r="C4252">
            <v>8</v>
          </cell>
          <cell r="E4252" t="str">
            <v>SEA</v>
          </cell>
          <cell r="I4252">
            <v>27</v>
          </cell>
          <cell r="J4252">
            <v>20</v>
          </cell>
          <cell r="L4252">
            <v>0</v>
          </cell>
        </row>
        <row r="4253">
          <cell r="B4253">
            <v>2019</v>
          </cell>
          <cell r="C4253">
            <v>9</v>
          </cell>
          <cell r="E4253" t="str">
            <v>SEA</v>
          </cell>
          <cell r="I4253">
            <v>40</v>
          </cell>
          <cell r="J4253">
            <v>34</v>
          </cell>
          <cell r="L4253">
            <v>0</v>
          </cell>
        </row>
        <row r="4254">
          <cell r="B4254">
            <v>2019</v>
          </cell>
          <cell r="C4254">
            <v>10</v>
          </cell>
          <cell r="E4254" t="str">
            <v>SEA</v>
          </cell>
          <cell r="I4254">
            <v>27</v>
          </cell>
          <cell r="J4254">
            <v>24</v>
          </cell>
          <cell r="L4254">
            <v>0</v>
          </cell>
        </row>
        <row r="4255">
          <cell r="B4255">
            <v>2019</v>
          </cell>
          <cell r="C4255">
            <v>12</v>
          </cell>
          <cell r="E4255" t="str">
            <v>SEA</v>
          </cell>
          <cell r="I4255">
            <v>17</v>
          </cell>
          <cell r="J4255">
            <v>9</v>
          </cell>
          <cell r="L4255">
            <v>0</v>
          </cell>
        </row>
        <row r="4256">
          <cell r="B4256">
            <v>2019</v>
          </cell>
          <cell r="C4256">
            <v>13</v>
          </cell>
          <cell r="E4256" t="str">
            <v>SEA</v>
          </cell>
          <cell r="I4256">
            <v>37</v>
          </cell>
          <cell r="J4256">
            <v>30</v>
          </cell>
          <cell r="L4256">
            <v>0</v>
          </cell>
        </row>
        <row r="4257">
          <cell r="B4257">
            <v>2019</v>
          </cell>
          <cell r="C4257">
            <v>14</v>
          </cell>
          <cell r="E4257" t="str">
            <v>SEA</v>
          </cell>
          <cell r="I4257">
            <v>12</v>
          </cell>
          <cell r="J4257">
            <v>28</v>
          </cell>
          <cell r="L4257">
            <v>0</v>
          </cell>
        </row>
        <row r="4258">
          <cell r="B4258">
            <v>2019</v>
          </cell>
          <cell r="C4258">
            <v>15</v>
          </cell>
          <cell r="E4258" t="str">
            <v>SEA</v>
          </cell>
          <cell r="I4258">
            <v>30</v>
          </cell>
          <cell r="J4258">
            <v>24</v>
          </cell>
          <cell r="L4258">
            <v>0</v>
          </cell>
        </row>
        <row r="4259">
          <cell r="B4259">
            <v>2019</v>
          </cell>
          <cell r="C4259">
            <v>16</v>
          </cell>
          <cell r="E4259" t="str">
            <v>SEA</v>
          </cell>
          <cell r="I4259">
            <v>13</v>
          </cell>
          <cell r="J4259">
            <v>27</v>
          </cell>
          <cell r="L4259">
            <v>0</v>
          </cell>
        </row>
        <row r="4260">
          <cell r="B4260">
            <v>2019</v>
          </cell>
          <cell r="C4260">
            <v>17</v>
          </cell>
          <cell r="E4260" t="str">
            <v>SEA</v>
          </cell>
          <cell r="I4260">
            <v>21</v>
          </cell>
          <cell r="J4260">
            <v>26</v>
          </cell>
          <cell r="L4260">
            <v>0</v>
          </cell>
        </row>
        <row r="4261">
          <cell r="B4261">
            <v>2019</v>
          </cell>
          <cell r="C4261">
            <v>1</v>
          </cell>
          <cell r="E4261" t="str">
            <v>SEA</v>
          </cell>
          <cell r="I4261">
            <v>17</v>
          </cell>
          <cell r="J4261">
            <v>9</v>
          </cell>
          <cell r="L4261">
            <v>1</v>
          </cell>
        </row>
        <row r="4262">
          <cell r="B4262">
            <v>2019</v>
          </cell>
          <cell r="C4262">
            <v>2</v>
          </cell>
          <cell r="E4262" t="str">
            <v>SEA</v>
          </cell>
          <cell r="I4262">
            <v>23</v>
          </cell>
          <cell r="J4262">
            <v>28</v>
          </cell>
          <cell r="L4262">
            <v>1</v>
          </cell>
        </row>
        <row r="4263">
          <cell r="B4263">
            <v>2020</v>
          </cell>
          <cell r="C4263">
            <v>1</v>
          </cell>
          <cell r="E4263" t="str">
            <v>SEA</v>
          </cell>
          <cell r="I4263">
            <v>38</v>
          </cell>
          <cell r="J4263">
            <v>25</v>
          </cell>
          <cell r="L4263">
            <v>0</v>
          </cell>
        </row>
        <row r="4264">
          <cell r="B4264">
            <v>2020</v>
          </cell>
          <cell r="C4264">
            <v>2</v>
          </cell>
          <cell r="E4264" t="str">
            <v>SEA</v>
          </cell>
          <cell r="I4264">
            <v>35</v>
          </cell>
          <cell r="J4264">
            <v>30</v>
          </cell>
          <cell r="L4264">
            <v>0</v>
          </cell>
        </row>
        <row r="4265">
          <cell r="B4265">
            <v>2020</v>
          </cell>
          <cell r="C4265">
            <v>3</v>
          </cell>
          <cell r="E4265" t="str">
            <v>SEA</v>
          </cell>
          <cell r="I4265">
            <v>38</v>
          </cell>
          <cell r="J4265">
            <v>31</v>
          </cell>
          <cell r="L4265">
            <v>0</v>
          </cell>
        </row>
        <row r="4266">
          <cell r="B4266">
            <v>2020</v>
          </cell>
          <cell r="C4266">
            <v>4</v>
          </cell>
          <cell r="E4266" t="str">
            <v>SEA</v>
          </cell>
          <cell r="I4266">
            <v>31</v>
          </cell>
          <cell r="J4266">
            <v>23</v>
          </cell>
          <cell r="L4266">
            <v>0</v>
          </cell>
        </row>
        <row r="4267">
          <cell r="B4267">
            <v>2020</v>
          </cell>
          <cell r="C4267">
            <v>5</v>
          </cell>
          <cell r="E4267" t="str">
            <v>SEA</v>
          </cell>
          <cell r="I4267">
            <v>27</v>
          </cell>
          <cell r="J4267">
            <v>26</v>
          </cell>
          <cell r="L4267">
            <v>0</v>
          </cell>
        </row>
        <row r="4268">
          <cell r="B4268">
            <v>2020</v>
          </cell>
          <cell r="C4268">
            <v>7</v>
          </cell>
          <cell r="E4268" t="str">
            <v>SEA</v>
          </cell>
          <cell r="I4268">
            <v>34</v>
          </cell>
          <cell r="J4268">
            <v>37</v>
          </cell>
          <cell r="L4268">
            <v>0</v>
          </cell>
        </row>
        <row r="4269">
          <cell r="B4269">
            <v>2020</v>
          </cell>
          <cell r="C4269">
            <v>8</v>
          </cell>
          <cell r="E4269" t="str">
            <v>SEA</v>
          </cell>
          <cell r="I4269">
            <v>37</v>
          </cell>
          <cell r="J4269">
            <v>27</v>
          </cell>
          <cell r="L4269">
            <v>0</v>
          </cell>
        </row>
        <row r="4270">
          <cell r="B4270">
            <v>2020</v>
          </cell>
          <cell r="C4270">
            <v>9</v>
          </cell>
          <cell r="E4270" t="str">
            <v>SEA</v>
          </cell>
          <cell r="I4270">
            <v>34</v>
          </cell>
          <cell r="J4270">
            <v>44</v>
          </cell>
          <cell r="L4270">
            <v>0</v>
          </cell>
        </row>
        <row r="4271">
          <cell r="B4271">
            <v>2020</v>
          </cell>
          <cell r="C4271">
            <v>10</v>
          </cell>
          <cell r="E4271" t="str">
            <v>SEA</v>
          </cell>
          <cell r="I4271">
            <v>16</v>
          </cell>
          <cell r="J4271">
            <v>23</v>
          </cell>
          <cell r="L4271">
            <v>0</v>
          </cell>
        </row>
        <row r="4272">
          <cell r="B4272">
            <v>2020</v>
          </cell>
          <cell r="C4272">
            <v>11</v>
          </cell>
          <cell r="E4272" t="str">
            <v>SEA</v>
          </cell>
          <cell r="I4272">
            <v>28</v>
          </cell>
          <cell r="J4272">
            <v>21</v>
          </cell>
          <cell r="L4272">
            <v>0</v>
          </cell>
        </row>
        <row r="4273">
          <cell r="B4273">
            <v>2020</v>
          </cell>
          <cell r="C4273">
            <v>12</v>
          </cell>
          <cell r="E4273" t="str">
            <v>SEA</v>
          </cell>
          <cell r="I4273">
            <v>23</v>
          </cell>
          <cell r="J4273">
            <v>17</v>
          </cell>
          <cell r="L4273">
            <v>0</v>
          </cell>
        </row>
        <row r="4274">
          <cell r="B4274">
            <v>2020</v>
          </cell>
          <cell r="C4274">
            <v>13</v>
          </cell>
          <cell r="E4274" t="str">
            <v>SEA</v>
          </cell>
          <cell r="I4274">
            <v>12</v>
          </cell>
          <cell r="J4274">
            <v>17</v>
          </cell>
          <cell r="L4274">
            <v>0</v>
          </cell>
        </row>
        <row r="4275">
          <cell r="B4275">
            <v>2020</v>
          </cell>
          <cell r="C4275">
            <v>14</v>
          </cell>
          <cell r="E4275" t="str">
            <v>SEA</v>
          </cell>
          <cell r="I4275">
            <v>40</v>
          </cell>
          <cell r="J4275">
            <v>3</v>
          </cell>
          <cell r="L4275">
            <v>0</v>
          </cell>
        </row>
        <row r="4276">
          <cell r="B4276">
            <v>2020</v>
          </cell>
          <cell r="C4276">
            <v>15</v>
          </cell>
          <cell r="E4276" t="str">
            <v>SEA</v>
          </cell>
          <cell r="I4276">
            <v>20</v>
          </cell>
          <cell r="J4276">
            <v>15</v>
          </cell>
          <cell r="L4276">
            <v>0</v>
          </cell>
        </row>
        <row r="4277">
          <cell r="B4277">
            <v>2020</v>
          </cell>
          <cell r="C4277">
            <v>16</v>
          </cell>
          <cell r="E4277" t="str">
            <v>SEA</v>
          </cell>
          <cell r="I4277">
            <v>20</v>
          </cell>
          <cell r="J4277">
            <v>9</v>
          </cell>
          <cell r="L4277">
            <v>0</v>
          </cell>
        </row>
        <row r="4278">
          <cell r="B4278">
            <v>2020</v>
          </cell>
          <cell r="C4278">
            <v>17</v>
          </cell>
          <cell r="E4278" t="str">
            <v>SEA</v>
          </cell>
          <cell r="I4278">
            <v>26</v>
          </cell>
          <cell r="J4278">
            <v>23</v>
          </cell>
          <cell r="L4278">
            <v>0</v>
          </cell>
        </row>
        <row r="4279">
          <cell r="B4279">
            <v>2020</v>
          </cell>
          <cell r="C4279">
            <v>1</v>
          </cell>
          <cell r="E4279" t="str">
            <v>SEA</v>
          </cell>
          <cell r="I4279">
            <v>20</v>
          </cell>
          <cell r="J4279">
            <v>30</v>
          </cell>
          <cell r="L4279">
            <v>1</v>
          </cell>
        </row>
        <row r="4280">
          <cell r="B4280">
            <v>2021</v>
          </cell>
          <cell r="C4280">
            <v>1</v>
          </cell>
          <cell r="E4280" t="str">
            <v>SEA</v>
          </cell>
          <cell r="I4280">
            <v>28</v>
          </cell>
          <cell r="J4280">
            <v>16</v>
          </cell>
          <cell r="L4280">
            <v>0</v>
          </cell>
        </row>
        <row r="4281">
          <cell r="B4281">
            <v>2021</v>
          </cell>
          <cell r="C4281">
            <v>2</v>
          </cell>
          <cell r="E4281" t="str">
            <v>SEA</v>
          </cell>
          <cell r="I4281">
            <v>30</v>
          </cell>
          <cell r="J4281">
            <v>33</v>
          </cell>
          <cell r="L4281">
            <v>0</v>
          </cell>
        </row>
        <row r="4282">
          <cell r="B4282">
            <v>2021</v>
          </cell>
          <cell r="C4282">
            <v>3</v>
          </cell>
          <cell r="E4282" t="str">
            <v>SEA</v>
          </cell>
          <cell r="I4282">
            <v>17</v>
          </cell>
          <cell r="J4282">
            <v>30</v>
          </cell>
          <cell r="L4282">
            <v>0</v>
          </cell>
        </row>
        <row r="4283">
          <cell r="B4283">
            <v>2021</v>
          </cell>
          <cell r="C4283">
            <v>4</v>
          </cell>
          <cell r="E4283" t="str">
            <v>SEA</v>
          </cell>
          <cell r="I4283">
            <v>28</v>
          </cell>
          <cell r="J4283">
            <v>21</v>
          </cell>
          <cell r="L4283">
            <v>0</v>
          </cell>
        </row>
        <row r="4284">
          <cell r="B4284">
            <v>2021</v>
          </cell>
          <cell r="C4284">
            <v>5</v>
          </cell>
          <cell r="E4284" t="str">
            <v>SEA</v>
          </cell>
          <cell r="I4284">
            <v>17</v>
          </cell>
          <cell r="J4284">
            <v>26</v>
          </cell>
          <cell r="L4284">
            <v>0</v>
          </cell>
        </row>
        <row r="4285">
          <cell r="B4285">
            <v>2021</v>
          </cell>
          <cell r="C4285">
            <v>6</v>
          </cell>
          <cell r="E4285" t="str">
            <v>SEA</v>
          </cell>
          <cell r="I4285">
            <v>20</v>
          </cell>
          <cell r="J4285">
            <v>23</v>
          </cell>
          <cell r="L4285">
            <v>0</v>
          </cell>
        </row>
        <row r="4286">
          <cell r="B4286">
            <v>2021</v>
          </cell>
          <cell r="C4286">
            <v>7</v>
          </cell>
          <cell r="E4286" t="str">
            <v>SEA</v>
          </cell>
          <cell r="I4286">
            <v>10</v>
          </cell>
          <cell r="J4286">
            <v>13</v>
          </cell>
          <cell r="L4286">
            <v>0</v>
          </cell>
        </row>
        <row r="4287">
          <cell r="B4287">
            <v>2021</v>
          </cell>
          <cell r="C4287">
            <v>8</v>
          </cell>
          <cell r="E4287" t="str">
            <v>SEA</v>
          </cell>
          <cell r="I4287">
            <v>31</v>
          </cell>
          <cell r="J4287">
            <v>7</v>
          </cell>
          <cell r="L4287">
            <v>0</v>
          </cell>
        </row>
        <row r="4288">
          <cell r="B4288">
            <v>2021</v>
          </cell>
          <cell r="C4288">
            <v>10</v>
          </cell>
          <cell r="E4288" t="str">
            <v>SEA</v>
          </cell>
          <cell r="I4288">
            <v>0</v>
          </cell>
          <cell r="J4288">
            <v>17</v>
          </cell>
          <cell r="L4288">
            <v>0</v>
          </cell>
        </row>
        <row r="4289">
          <cell r="B4289">
            <v>2021</v>
          </cell>
          <cell r="C4289">
            <v>11</v>
          </cell>
          <cell r="E4289" t="str">
            <v>SEA</v>
          </cell>
          <cell r="I4289">
            <v>13</v>
          </cell>
          <cell r="J4289">
            <v>23</v>
          </cell>
          <cell r="L4289">
            <v>0</v>
          </cell>
        </row>
        <row r="4290">
          <cell r="B4290">
            <v>2021</v>
          </cell>
          <cell r="C4290">
            <v>12</v>
          </cell>
          <cell r="E4290" t="str">
            <v>SEA</v>
          </cell>
          <cell r="I4290">
            <v>15</v>
          </cell>
          <cell r="J4290">
            <v>17</v>
          </cell>
          <cell r="L4290">
            <v>0</v>
          </cell>
        </row>
        <row r="4291">
          <cell r="B4291">
            <v>2021</v>
          </cell>
          <cell r="C4291">
            <v>13</v>
          </cell>
          <cell r="E4291" t="str">
            <v>SEA</v>
          </cell>
          <cell r="I4291">
            <v>30</v>
          </cell>
          <cell r="J4291">
            <v>23</v>
          </cell>
          <cell r="L4291">
            <v>0</v>
          </cell>
        </row>
        <row r="4292">
          <cell r="B4292">
            <v>2021</v>
          </cell>
          <cell r="C4292">
            <v>14</v>
          </cell>
          <cell r="E4292" t="str">
            <v>SEA</v>
          </cell>
          <cell r="I4292">
            <v>33</v>
          </cell>
          <cell r="J4292">
            <v>13</v>
          </cell>
          <cell r="L4292">
            <v>0</v>
          </cell>
        </row>
        <row r="4293">
          <cell r="B4293">
            <v>2021</v>
          </cell>
          <cell r="C4293">
            <v>15</v>
          </cell>
          <cell r="E4293" t="str">
            <v>SEA</v>
          </cell>
          <cell r="I4293">
            <v>10</v>
          </cell>
          <cell r="J4293">
            <v>20</v>
          </cell>
          <cell r="L4293">
            <v>0</v>
          </cell>
        </row>
        <row r="4294">
          <cell r="B4294">
            <v>2021</v>
          </cell>
          <cell r="C4294">
            <v>16</v>
          </cell>
          <cell r="E4294" t="str">
            <v>SEA</v>
          </cell>
          <cell r="I4294">
            <v>24</v>
          </cell>
          <cell r="J4294">
            <v>25</v>
          </cell>
          <cell r="L4294">
            <v>0</v>
          </cell>
        </row>
        <row r="4295">
          <cell r="B4295">
            <v>2021</v>
          </cell>
          <cell r="C4295">
            <v>17</v>
          </cell>
          <cell r="E4295" t="str">
            <v>SEA</v>
          </cell>
          <cell r="I4295">
            <v>51</v>
          </cell>
          <cell r="J4295">
            <v>29</v>
          </cell>
          <cell r="L4295">
            <v>0</v>
          </cell>
        </row>
        <row r="4296">
          <cell r="B4296">
            <v>2021</v>
          </cell>
          <cell r="C4296">
            <v>18</v>
          </cell>
          <cell r="E4296" t="str">
            <v>SEA</v>
          </cell>
          <cell r="I4296">
            <v>38</v>
          </cell>
          <cell r="J4296">
            <v>30</v>
          </cell>
          <cell r="L4296">
            <v>0</v>
          </cell>
        </row>
        <row r="4297">
          <cell r="B4297">
            <v>2022</v>
          </cell>
          <cell r="C4297">
            <v>1</v>
          </cell>
          <cell r="E4297" t="str">
            <v>SEA</v>
          </cell>
          <cell r="I4297">
            <v>17</v>
          </cell>
          <cell r="J4297">
            <v>16</v>
          </cell>
          <cell r="L4297">
            <v>0</v>
          </cell>
        </row>
        <row r="4298">
          <cell r="B4298">
            <v>2022</v>
          </cell>
          <cell r="C4298">
            <v>2</v>
          </cell>
          <cell r="E4298" t="str">
            <v>SEA</v>
          </cell>
          <cell r="I4298">
            <v>7</v>
          </cell>
          <cell r="J4298">
            <v>27</v>
          </cell>
          <cell r="L4298">
            <v>0</v>
          </cell>
        </row>
        <row r="4299">
          <cell r="B4299">
            <v>2022</v>
          </cell>
          <cell r="C4299">
            <v>3</v>
          </cell>
          <cell r="E4299" t="str">
            <v>SEA</v>
          </cell>
          <cell r="I4299">
            <v>23</v>
          </cell>
          <cell r="J4299">
            <v>27</v>
          </cell>
          <cell r="L4299">
            <v>0</v>
          </cell>
        </row>
        <row r="4300">
          <cell r="B4300">
            <v>2022</v>
          </cell>
          <cell r="C4300">
            <v>4</v>
          </cell>
          <cell r="E4300" t="str">
            <v>SEA</v>
          </cell>
          <cell r="I4300">
            <v>48</v>
          </cell>
          <cell r="J4300">
            <v>45</v>
          </cell>
          <cell r="L4300">
            <v>0</v>
          </cell>
        </row>
        <row r="4301">
          <cell r="B4301">
            <v>2022</v>
          </cell>
          <cell r="C4301">
            <v>5</v>
          </cell>
          <cell r="E4301" t="str">
            <v>SEA</v>
          </cell>
          <cell r="I4301">
            <v>32</v>
          </cell>
          <cell r="J4301">
            <v>39</v>
          </cell>
          <cell r="L4301">
            <v>0</v>
          </cell>
        </row>
        <row r="4302">
          <cell r="B4302">
            <v>2022</v>
          </cell>
          <cell r="C4302">
            <v>6</v>
          </cell>
          <cell r="E4302" t="str">
            <v>SEA</v>
          </cell>
          <cell r="I4302">
            <v>19</v>
          </cell>
          <cell r="J4302">
            <v>9</v>
          </cell>
          <cell r="L4302">
            <v>0</v>
          </cell>
        </row>
        <row r="4303">
          <cell r="B4303">
            <v>2022</v>
          </cell>
          <cell r="C4303">
            <v>7</v>
          </cell>
          <cell r="E4303" t="str">
            <v>SEA</v>
          </cell>
          <cell r="I4303">
            <v>37</v>
          </cell>
          <cell r="J4303">
            <v>23</v>
          </cell>
          <cell r="L4303">
            <v>0</v>
          </cell>
        </row>
        <row r="4304">
          <cell r="B4304">
            <v>2022</v>
          </cell>
          <cell r="C4304">
            <v>8</v>
          </cell>
          <cell r="E4304" t="str">
            <v>SEA</v>
          </cell>
          <cell r="I4304">
            <v>27</v>
          </cell>
          <cell r="J4304">
            <v>13</v>
          </cell>
          <cell r="L4304">
            <v>0</v>
          </cell>
        </row>
        <row r="4305">
          <cell r="B4305">
            <v>2022</v>
          </cell>
          <cell r="C4305">
            <v>9</v>
          </cell>
          <cell r="E4305" t="str">
            <v>SEA</v>
          </cell>
          <cell r="I4305">
            <v>31</v>
          </cell>
          <cell r="J4305">
            <v>21</v>
          </cell>
          <cell r="L4305">
            <v>0</v>
          </cell>
        </row>
        <row r="4306">
          <cell r="B4306">
            <v>2022</v>
          </cell>
          <cell r="C4306">
            <v>10</v>
          </cell>
          <cell r="E4306" t="str">
            <v>SEA</v>
          </cell>
          <cell r="I4306">
            <v>16</v>
          </cell>
          <cell r="J4306">
            <v>21</v>
          </cell>
          <cell r="L4306">
            <v>0</v>
          </cell>
        </row>
        <row r="4307">
          <cell r="B4307">
            <v>2022</v>
          </cell>
          <cell r="C4307">
            <v>12</v>
          </cell>
          <cell r="E4307" t="str">
            <v>SEA</v>
          </cell>
          <cell r="I4307">
            <v>34</v>
          </cell>
          <cell r="J4307">
            <v>40</v>
          </cell>
          <cell r="L4307">
            <v>0</v>
          </cell>
        </row>
        <row r="4308">
          <cell r="B4308">
            <v>2022</v>
          </cell>
          <cell r="C4308">
            <v>13</v>
          </cell>
          <cell r="E4308" t="str">
            <v>SEA</v>
          </cell>
          <cell r="I4308">
            <v>27</v>
          </cell>
          <cell r="J4308">
            <v>23</v>
          </cell>
          <cell r="L4308">
            <v>0</v>
          </cell>
        </row>
        <row r="4309">
          <cell r="B4309">
            <v>2022</v>
          </cell>
          <cell r="C4309">
            <v>14</v>
          </cell>
          <cell r="E4309" t="str">
            <v>SEA</v>
          </cell>
          <cell r="I4309">
            <v>24</v>
          </cell>
          <cell r="J4309">
            <v>30</v>
          </cell>
          <cell r="L4309">
            <v>0</v>
          </cell>
        </row>
        <row r="4310">
          <cell r="B4310">
            <v>2022</v>
          </cell>
          <cell r="C4310">
            <v>15</v>
          </cell>
          <cell r="E4310" t="str">
            <v>SEA</v>
          </cell>
          <cell r="I4310">
            <v>13</v>
          </cell>
          <cell r="J4310">
            <v>21</v>
          </cell>
          <cell r="L4310">
            <v>0</v>
          </cell>
        </row>
        <row r="4311">
          <cell r="B4311">
            <v>2022</v>
          </cell>
          <cell r="C4311">
            <v>16</v>
          </cell>
          <cell r="E4311" t="str">
            <v>SEA</v>
          </cell>
          <cell r="I4311">
            <v>10</v>
          </cell>
          <cell r="J4311">
            <v>24</v>
          </cell>
          <cell r="L4311">
            <v>0</v>
          </cell>
        </row>
        <row r="4312">
          <cell r="B4312">
            <v>2022</v>
          </cell>
          <cell r="C4312">
            <v>17</v>
          </cell>
          <cell r="E4312" t="str">
            <v>SEA</v>
          </cell>
          <cell r="I4312">
            <v>23</v>
          </cell>
          <cell r="J4312">
            <v>6</v>
          </cell>
          <cell r="L4312">
            <v>0</v>
          </cell>
        </row>
        <row r="4313">
          <cell r="B4313">
            <v>2022</v>
          </cell>
          <cell r="C4313">
            <v>18</v>
          </cell>
          <cell r="E4313" t="str">
            <v>SEA</v>
          </cell>
          <cell r="I4313">
            <v>19</v>
          </cell>
          <cell r="J4313">
            <v>16</v>
          </cell>
          <cell r="L4313">
            <v>0</v>
          </cell>
        </row>
        <row r="4314">
          <cell r="B4314">
            <v>2022</v>
          </cell>
          <cell r="C4314">
            <v>1</v>
          </cell>
          <cell r="E4314" t="str">
            <v>SEA</v>
          </cell>
          <cell r="I4314">
            <v>23</v>
          </cell>
          <cell r="J4314">
            <v>41</v>
          </cell>
          <cell r="L4314">
            <v>1</v>
          </cell>
        </row>
        <row r="4315">
          <cell r="B4315">
            <v>2023</v>
          </cell>
          <cell r="C4315">
            <v>1</v>
          </cell>
          <cell r="E4315" t="str">
            <v>SEA</v>
          </cell>
          <cell r="I4315">
            <v>13</v>
          </cell>
          <cell r="J4315">
            <v>30</v>
          </cell>
          <cell r="L4315">
            <v>0</v>
          </cell>
        </row>
        <row r="4316">
          <cell r="B4316">
            <v>2023</v>
          </cell>
          <cell r="C4316">
            <v>2</v>
          </cell>
          <cell r="E4316" t="str">
            <v>SEA</v>
          </cell>
          <cell r="I4316">
            <v>37</v>
          </cell>
          <cell r="J4316">
            <v>31</v>
          </cell>
          <cell r="L4316">
            <v>0</v>
          </cell>
        </row>
        <row r="4317">
          <cell r="B4317">
            <v>2023</v>
          </cell>
          <cell r="C4317">
            <v>3</v>
          </cell>
          <cell r="E4317" t="str">
            <v>SEA</v>
          </cell>
          <cell r="I4317">
            <v>37</v>
          </cell>
          <cell r="J4317">
            <v>27</v>
          </cell>
          <cell r="L4317">
            <v>0</v>
          </cell>
        </row>
        <row r="4318">
          <cell r="B4318">
            <v>2023</v>
          </cell>
          <cell r="C4318">
            <v>4</v>
          </cell>
          <cell r="E4318" t="str">
            <v>SEA</v>
          </cell>
          <cell r="I4318">
            <v>24</v>
          </cell>
          <cell r="J4318">
            <v>3</v>
          </cell>
          <cell r="L4318">
            <v>0</v>
          </cell>
        </row>
        <row r="4319">
          <cell r="B4319">
            <v>2023</v>
          </cell>
          <cell r="C4319">
            <v>6</v>
          </cell>
          <cell r="E4319" t="str">
            <v>SEA</v>
          </cell>
          <cell r="I4319">
            <v>13</v>
          </cell>
          <cell r="J4319">
            <v>17</v>
          </cell>
          <cell r="L4319">
            <v>0</v>
          </cell>
        </row>
        <row r="4320">
          <cell r="B4320">
            <v>2023</v>
          </cell>
          <cell r="C4320">
            <v>7</v>
          </cell>
          <cell r="E4320" t="str">
            <v>SEA</v>
          </cell>
          <cell r="I4320">
            <v>20</v>
          </cell>
          <cell r="J4320">
            <v>10</v>
          </cell>
          <cell r="L4320">
            <v>0</v>
          </cell>
        </row>
        <row r="4321">
          <cell r="B4321">
            <v>2023</v>
          </cell>
          <cell r="C4321">
            <v>8</v>
          </cell>
          <cell r="E4321" t="str">
            <v>SEA</v>
          </cell>
          <cell r="I4321">
            <v>24</v>
          </cell>
          <cell r="J4321">
            <v>20</v>
          </cell>
          <cell r="L4321">
            <v>0</v>
          </cell>
        </row>
        <row r="4322">
          <cell r="B4322">
            <v>2023</v>
          </cell>
          <cell r="C4322">
            <v>9</v>
          </cell>
          <cell r="E4322" t="str">
            <v>SEA</v>
          </cell>
          <cell r="I4322">
            <v>3</v>
          </cell>
          <cell r="J4322">
            <v>37</v>
          </cell>
          <cell r="L4322">
            <v>0</v>
          </cell>
        </row>
        <row r="4323">
          <cell r="B4323">
            <v>2023</v>
          </cell>
          <cell r="C4323">
            <v>10</v>
          </cell>
          <cell r="E4323" t="str">
            <v>SEA</v>
          </cell>
          <cell r="I4323">
            <v>29</v>
          </cell>
          <cell r="J4323">
            <v>26</v>
          </cell>
          <cell r="L4323">
            <v>0</v>
          </cell>
        </row>
        <row r="4324">
          <cell r="B4324">
            <v>2023</v>
          </cell>
          <cell r="C4324">
            <v>11</v>
          </cell>
          <cell r="E4324" t="str">
            <v>SEA</v>
          </cell>
          <cell r="I4324">
            <v>16</v>
          </cell>
          <cell r="J4324">
            <v>17</v>
          </cell>
          <cell r="L4324">
            <v>0</v>
          </cell>
        </row>
        <row r="4325">
          <cell r="B4325">
            <v>2023</v>
          </cell>
          <cell r="C4325">
            <v>12</v>
          </cell>
          <cell r="E4325" t="str">
            <v>SEA</v>
          </cell>
          <cell r="I4325">
            <v>13</v>
          </cell>
          <cell r="J4325">
            <v>31</v>
          </cell>
          <cell r="L4325">
            <v>0</v>
          </cell>
        </row>
        <row r="4326">
          <cell r="B4326">
            <v>2023</v>
          </cell>
          <cell r="C4326">
            <v>13</v>
          </cell>
          <cell r="E4326" t="str">
            <v>SEA</v>
          </cell>
          <cell r="I4326">
            <v>35</v>
          </cell>
          <cell r="J4326">
            <v>41</v>
          </cell>
          <cell r="L4326">
            <v>0</v>
          </cell>
        </row>
        <row r="4327">
          <cell r="B4327">
            <v>2023</v>
          </cell>
          <cell r="C4327">
            <v>14</v>
          </cell>
          <cell r="E4327" t="str">
            <v>SEA</v>
          </cell>
          <cell r="I4327">
            <v>16</v>
          </cell>
          <cell r="J4327">
            <v>28</v>
          </cell>
          <cell r="L4327">
            <v>0</v>
          </cell>
        </row>
        <row r="4328">
          <cell r="B4328">
            <v>2023</v>
          </cell>
          <cell r="C4328">
            <v>15</v>
          </cell>
          <cell r="E4328" t="str">
            <v>SEA</v>
          </cell>
          <cell r="I4328">
            <v>20</v>
          </cell>
          <cell r="J4328">
            <v>17</v>
          </cell>
          <cell r="L4328">
            <v>0</v>
          </cell>
        </row>
        <row r="4329">
          <cell r="B4329">
            <v>2023</v>
          </cell>
          <cell r="C4329">
            <v>16</v>
          </cell>
          <cell r="E4329" t="str">
            <v>SEA</v>
          </cell>
          <cell r="I4329">
            <v>20</v>
          </cell>
          <cell r="J4329">
            <v>17</v>
          </cell>
          <cell r="L4329">
            <v>0</v>
          </cell>
        </row>
        <row r="4330">
          <cell r="B4330">
            <v>2023</v>
          </cell>
          <cell r="C4330">
            <v>17</v>
          </cell>
          <cell r="E4330" t="str">
            <v>SEA</v>
          </cell>
          <cell r="I4330">
            <v>23</v>
          </cell>
          <cell r="J4330">
            <v>30</v>
          </cell>
          <cell r="L4330">
            <v>0</v>
          </cell>
        </row>
        <row r="4331">
          <cell r="B4331">
            <v>2023</v>
          </cell>
          <cell r="C4331">
            <v>18</v>
          </cell>
          <cell r="E4331" t="str">
            <v>SEA</v>
          </cell>
          <cell r="I4331">
            <v>21</v>
          </cell>
          <cell r="J4331">
            <v>20</v>
          </cell>
          <cell r="L4331">
            <v>0</v>
          </cell>
        </row>
        <row r="4332">
          <cell r="B4332">
            <v>2024</v>
          </cell>
          <cell r="C4332">
            <v>1</v>
          </cell>
          <cell r="E4332" t="str">
            <v>SEA</v>
          </cell>
          <cell r="I4332">
            <v>26</v>
          </cell>
          <cell r="J4332">
            <v>20</v>
          </cell>
          <cell r="L4332">
            <v>0</v>
          </cell>
        </row>
        <row r="4333">
          <cell r="B4333">
            <v>2024</v>
          </cell>
          <cell r="C4333">
            <v>2</v>
          </cell>
          <cell r="E4333" t="str">
            <v>SEA</v>
          </cell>
          <cell r="I4333">
            <v>23</v>
          </cell>
          <cell r="J4333">
            <v>20</v>
          </cell>
          <cell r="L4333">
            <v>0</v>
          </cell>
        </row>
        <row r="4334">
          <cell r="B4334">
            <v>2024</v>
          </cell>
          <cell r="C4334">
            <v>3</v>
          </cell>
          <cell r="E4334" t="str">
            <v>SEA</v>
          </cell>
          <cell r="I4334">
            <v>24</v>
          </cell>
          <cell r="J4334">
            <v>3</v>
          </cell>
          <cell r="L4334">
            <v>0</v>
          </cell>
        </row>
        <row r="4335">
          <cell r="B4335">
            <v>2024</v>
          </cell>
          <cell r="C4335">
            <v>4</v>
          </cell>
          <cell r="E4335" t="str">
            <v>SEA</v>
          </cell>
          <cell r="I4335">
            <v>29</v>
          </cell>
          <cell r="J4335">
            <v>42</v>
          </cell>
          <cell r="L4335">
            <v>0</v>
          </cell>
        </row>
        <row r="4336">
          <cell r="B4336">
            <v>2024</v>
          </cell>
          <cell r="C4336">
            <v>5</v>
          </cell>
          <cell r="E4336" t="str">
            <v>SEA</v>
          </cell>
          <cell r="I4336">
            <v>20</v>
          </cell>
          <cell r="J4336">
            <v>29</v>
          </cell>
          <cell r="L4336">
            <v>0</v>
          </cell>
        </row>
        <row r="4337">
          <cell r="B4337">
            <v>2024</v>
          </cell>
          <cell r="C4337">
            <v>6</v>
          </cell>
          <cell r="E4337" t="str">
            <v>SEA</v>
          </cell>
          <cell r="I4337">
            <v>24</v>
          </cell>
          <cell r="J4337">
            <v>36</v>
          </cell>
          <cell r="L4337">
            <v>0</v>
          </cell>
        </row>
        <row r="4338">
          <cell r="B4338">
            <v>2024</v>
          </cell>
          <cell r="C4338">
            <v>7</v>
          </cell>
          <cell r="E4338" t="str">
            <v>SEA</v>
          </cell>
          <cell r="I4338">
            <v>34</v>
          </cell>
          <cell r="J4338">
            <v>14</v>
          </cell>
          <cell r="L4338">
            <v>0</v>
          </cell>
        </row>
        <row r="4339">
          <cell r="B4339">
            <v>2024</v>
          </cell>
          <cell r="C4339">
            <v>8</v>
          </cell>
          <cell r="E4339" t="str">
            <v>SEA</v>
          </cell>
          <cell r="I4339">
            <v>10</v>
          </cell>
          <cell r="J4339">
            <v>31</v>
          </cell>
          <cell r="L4339">
            <v>0</v>
          </cell>
        </row>
        <row r="4340">
          <cell r="B4340">
            <v>2024</v>
          </cell>
          <cell r="C4340">
            <v>9</v>
          </cell>
          <cell r="E4340" t="str">
            <v>SEA</v>
          </cell>
          <cell r="I4340">
            <v>20</v>
          </cell>
          <cell r="J4340">
            <v>26</v>
          </cell>
          <cell r="L4340">
            <v>0</v>
          </cell>
        </row>
        <row r="4341">
          <cell r="B4341">
            <v>2024</v>
          </cell>
          <cell r="C4341">
            <v>11</v>
          </cell>
          <cell r="E4341" t="str">
            <v>SEA</v>
          </cell>
          <cell r="I4341">
            <v>20</v>
          </cell>
          <cell r="J4341">
            <v>17</v>
          </cell>
          <cell r="L4341">
            <v>0</v>
          </cell>
        </row>
        <row r="4342">
          <cell r="B4342">
            <v>2024</v>
          </cell>
          <cell r="C4342">
            <v>12</v>
          </cell>
          <cell r="E4342" t="str">
            <v>SEA</v>
          </cell>
          <cell r="I4342">
            <v>16</v>
          </cell>
          <cell r="J4342">
            <v>6</v>
          </cell>
          <cell r="L4342">
            <v>0</v>
          </cell>
        </row>
        <row r="4343">
          <cell r="B4343">
            <v>2024</v>
          </cell>
          <cell r="C4343">
            <v>13</v>
          </cell>
          <cell r="E4343" t="str">
            <v>SEA</v>
          </cell>
          <cell r="I4343">
            <v>26</v>
          </cell>
          <cell r="J4343">
            <v>21</v>
          </cell>
          <cell r="L4343">
            <v>0</v>
          </cell>
        </row>
        <row r="4344">
          <cell r="B4344">
            <v>2024</v>
          </cell>
          <cell r="C4344">
            <v>14</v>
          </cell>
          <cell r="E4344" t="str">
            <v>SEA</v>
          </cell>
          <cell r="I4344">
            <v>30</v>
          </cell>
          <cell r="J4344">
            <v>18</v>
          </cell>
          <cell r="L4344">
            <v>0</v>
          </cell>
        </row>
        <row r="4345">
          <cell r="B4345">
            <v>2024</v>
          </cell>
          <cell r="C4345">
            <v>15</v>
          </cell>
          <cell r="E4345" t="str">
            <v>SEA</v>
          </cell>
          <cell r="I4345">
            <v>13</v>
          </cell>
          <cell r="J4345">
            <v>30</v>
          </cell>
          <cell r="L4345">
            <v>0</v>
          </cell>
        </row>
        <row r="4346">
          <cell r="B4346">
            <v>2024</v>
          </cell>
          <cell r="C4346">
            <v>16</v>
          </cell>
          <cell r="E4346" t="str">
            <v>SEA</v>
          </cell>
          <cell r="I4346">
            <v>24</v>
          </cell>
          <cell r="J4346">
            <v>27</v>
          </cell>
          <cell r="L4346">
            <v>0</v>
          </cell>
        </row>
        <row r="4347">
          <cell r="B4347">
            <v>2024</v>
          </cell>
          <cell r="C4347">
            <v>17</v>
          </cell>
          <cell r="E4347" t="str">
            <v>SEA</v>
          </cell>
          <cell r="I4347">
            <v>6</v>
          </cell>
          <cell r="J4347">
            <v>3</v>
          </cell>
          <cell r="L4347">
            <v>0</v>
          </cell>
        </row>
        <row r="4348">
          <cell r="B4348">
            <v>2024</v>
          </cell>
          <cell r="C4348">
            <v>18</v>
          </cell>
          <cell r="E4348" t="str">
            <v>SEA</v>
          </cell>
          <cell r="I4348">
            <v>30</v>
          </cell>
          <cell r="J4348">
            <v>25</v>
          </cell>
          <cell r="L4348">
            <v>0</v>
          </cell>
        </row>
        <row r="4349">
          <cell r="B4349">
            <v>2025</v>
          </cell>
          <cell r="C4349">
            <v>1</v>
          </cell>
          <cell r="E4349" t="str">
            <v>SEA</v>
          </cell>
          <cell r="I4349">
            <v>13</v>
          </cell>
          <cell r="J4349">
            <v>17</v>
          </cell>
          <cell r="L4349">
            <v>0</v>
          </cell>
        </row>
        <row r="4350">
          <cell r="B4350">
            <v>2025</v>
          </cell>
          <cell r="C4350">
            <v>2</v>
          </cell>
          <cell r="E4350" t="str">
            <v>SEA</v>
          </cell>
          <cell r="I4350">
            <v>31</v>
          </cell>
          <cell r="J4350">
            <v>17</v>
          </cell>
          <cell r="L4350">
            <v>0</v>
          </cell>
        </row>
        <row r="4351">
          <cell r="B4351">
            <v>2025</v>
          </cell>
          <cell r="C4351">
            <v>3</v>
          </cell>
          <cell r="E4351" t="str">
            <v>SEA</v>
          </cell>
          <cell r="I4351">
            <v>44</v>
          </cell>
          <cell r="J4351">
            <v>13</v>
          </cell>
          <cell r="L4351">
            <v>0</v>
          </cell>
        </row>
        <row r="4352">
          <cell r="B4352">
            <v>2025</v>
          </cell>
          <cell r="C4352">
            <v>4</v>
          </cell>
          <cell r="E4352" t="str">
            <v>SEA</v>
          </cell>
          <cell r="I4352">
            <v>23</v>
          </cell>
          <cell r="J4352">
            <v>20</v>
          </cell>
          <cell r="L4352">
            <v>0</v>
          </cell>
        </row>
        <row r="4353">
          <cell r="B4353">
            <v>2025</v>
          </cell>
          <cell r="C4353">
            <v>5</v>
          </cell>
          <cell r="E4353" t="str">
            <v>SEA</v>
          </cell>
          <cell r="I4353">
            <v>35</v>
          </cell>
          <cell r="J4353">
            <v>38</v>
          </cell>
          <cell r="L4353">
            <v>0</v>
          </cell>
        </row>
        <row r="4354">
          <cell r="B4354">
            <v>2025</v>
          </cell>
          <cell r="C4354">
            <v>6</v>
          </cell>
          <cell r="E4354" t="str">
            <v>SEA</v>
          </cell>
          <cell r="I4354">
            <v>20</v>
          </cell>
          <cell r="J4354">
            <v>12</v>
          </cell>
          <cell r="L4354">
            <v>0</v>
          </cell>
        </row>
        <row r="4355">
          <cell r="B4355">
            <v>2025</v>
          </cell>
          <cell r="C4355">
            <v>7</v>
          </cell>
          <cell r="E4355" t="str">
            <v>SEA</v>
          </cell>
          <cell r="I4355">
            <v>27</v>
          </cell>
          <cell r="J4355">
            <v>19</v>
          </cell>
          <cell r="L4355">
            <v>0</v>
          </cell>
        </row>
        <row r="4356">
          <cell r="B4356">
            <v>2025</v>
          </cell>
          <cell r="C4356">
            <v>9</v>
          </cell>
          <cell r="E4356" t="str">
            <v>SEA</v>
          </cell>
          <cell r="I4356">
            <v>38</v>
          </cell>
          <cell r="J4356">
            <v>14</v>
          </cell>
          <cell r="L4356">
            <v>0</v>
          </cell>
        </row>
        <row r="4357">
          <cell r="B4357">
            <v>2025</v>
          </cell>
          <cell r="C4357">
            <v>10</v>
          </cell>
          <cell r="E4357" t="str">
            <v>SEA</v>
          </cell>
          <cell r="I4357">
            <v>44</v>
          </cell>
          <cell r="J4357">
            <v>22</v>
          </cell>
          <cell r="L4357">
            <v>0</v>
          </cell>
        </row>
        <row r="4358">
          <cell r="B4358">
            <v>2025</v>
          </cell>
          <cell r="C4358">
            <v>11</v>
          </cell>
          <cell r="E4358" t="str">
            <v>SEA</v>
          </cell>
          <cell r="I4358">
            <v>19</v>
          </cell>
          <cell r="J4358">
            <v>21</v>
          </cell>
          <cell r="L4358">
            <v>0</v>
          </cell>
        </row>
        <row r="4359">
          <cell r="B4359">
            <v>2025</v>
          </cell>
          <cell r="C4359">
            <v>12</v>
          </cell>
          <cell r="E4359" t="str">
            <v>SEA</v>
          </cell>
          <cell r="I4359">
            <v>30</v>
          </cell>
          <cell r="J4359">
            <v>24</v>
          </cell>
          <cell r="L4359">
            <v>0</v>
          </cell>
        </row>
        <row r="4360">
          <cell r="B4360">
            <v>2025</v>
          </cell>
          <cell r="C4360">
            <v>13</v>
          </cell>
          <cell r="E4360" t="str">
            <v>SEA</v>
          </cell>
          <cell r="I4360">
            <v>26</v>
          </cell>
          <cell r="J4360">
            <v>0</v>
          </cell>
          <cell r="L4360">
            <v>0</v>
          </cell>
        </row>
        <row r="4361">
          <cell r="B4361">
            <v>2025</v>
          </cell>
          <cell r="C4361">
            <v>14</v>
          </cell>
          <cell r="E4361" t="str">
            <v>SEA</v>
          </cell>
          <cell r="I4361">
            <v>37</v>
          </cell>
          <cell r="J4361">
            <v>9</v>
          </cell>
          <cell r="L4361">
            <v>0</v>
          </cell>
        </row>
        <row r="4362">
          <cell r="B4362">
            <v>2025</v>
          </cell>
          <cell r="C4362">
            <v>15</v>
          </cell>
          <cell r="E4362" t="str">
            <v>SEA</v>
          </cell>
          <cell r="I4362">
            <v>18</v>
          </cell>
          <cell r="J4362">
            <v>16</v>
          </cell>
          <cell r="L4362">
            <v>0</v>
          </cell>
        </row>
        <row r="4363">
          <cell r="B4363">
            <v>2025</v>
          </cell>
          <cell r="C4363">
            <v>16</v>
          </cell>
          <cell r="E4363" t="str">
            <v>SEA</v>
          </cell>
          <cell r="I4363">
            <v>38</v>
          </cell>
          <cell r="J4363">
            <v>37</v>
          </cell>
          <cell r="L4363">
            <v>0</v>
          </cell>
        </row>
        <row r="4364">
          <cell r="B4364">
            <v>2025</v>
          </cell>
          <cell r="C4364">
            <v>17</v>
          </cell>
          <cell r="E4364" t="str">
            <v>SEA</v>
          </cell>
          <cell r="I4364">
            <v>27</v>
          </cell>
          <cell r="J4364">
            <v>10</v>
          </cell>
          <cell r="L4364">
            <v>0</v>
          </cell>
        </row>
        <row r="4365">
          <cell r="B4365">
            <v>2025</v>
          </cell>
          <cell r="C4365">
            <v>18</v>
          </cell>
          <cell r="E4365" t="str">
            <v>SEA</v>
          </cell>
          <cell r="I4365">
            <v>13</v>
          </cell>
          <cell r="J4365">
            <v>3</v>
          </cell>
          <cell r="L4365">
            <v>0</v>
          </cell>
        </row>
        <row r="4366">
          <cell r="B4366">
            <v>2025</v>
          </cell>
          <cell r="C4366">
            <v>2</v>
          </cell>
          <cell r="E4366" t="str">
            <v>SEA</v>
          </cell>
          <cell r="I4366">
            <v>41</v>
          </cell>
          <cell r="J4366">
            <v>6</v>
          </cell>
          <cell r="L4366">
            <v>1</v>
          </cell>
        </row>
        <row r="4367">
          <cell r="B4367">
            <v>2025</v>
          </cell>
          <cell r="C4367">
            <v>3</v>
          </cell>
          <cell r="E4367" t="str">
            <v>SEA</v>
          </cell>
          <cell r="I4367">
            <v>31</v>
          </cell>
          <cell r="J4367">
            <v>27</v>
          </cell>
          <cell r="L4367">
            <v>1</v>
          </cell>
        </row>
        <row r="4368">
          <cell r="B4368">
            <v>2025</v>
          </cell>
          <cell r="C4368">
            <v>5</v>
          </cell>
          <cell r="E4368" t="str">
            <v>SEA</v>
          </cell>
          <cell r="I4368">
            <v>29</v>
          </cell>
          <cell r="J4368">
            <v>13</v>
          </cell>
          <cell r="L4368">
            <v>1</v>
          </cell>
        </row>
        <row r="4369">
          <cell r="B4369">
            <v>2026</v>
          </cell>
          <cell r="C4369">
            <v>1</v>
          </cell>
          <cell r="E4369" t="str">
            <v>SEA</v>
          </cell>
          <cell r="I4369">
            <v>13</v>
          </cell>
          <cell r="J4369">
            <v>10</v>
          </cell>
          <cell r="L4369">
            <v>0</v>
          </cell>
        </row>
        <row r="4370">
          <cell r="B4370">
            <v>2026</v>
          </cell>
          <cell r="C4370">
            <v>2</v>
          </cell>
          <cell r="E4370" t="str">
            <v>SEA</v>
          </cell>
          <cell r="I4370">
            <v>31</v>
          </cell>
          <cell r="J4370">
            <v>7</v>
          </cell>
          <cell r="L4370">
            <v>0</v>
          </cell>
        </row>
        <row r="4371">
          <cell r="B4371">
            <v>2026</v>
          </cell>
          <cell r="C4371">
            <v>3</v>
          </cell>
          <cell r="E4371" t="str">
            <v>SEA</v>
          </cell>
          <cell r="I4371">
            <v>31</v>
          </cell>
          <cell r="J4371">
            <v>33</v>
          </cell>
          <cell r="L4371">
            <v>0</v>
          </cell>
        </row>
        <row r="4372">
          <cell r="B4372">
            <v>2026</v>
          </cell>
          <cell r="C4372">
            <v>4</v>
          </cell>
          <cell r="E4372" t="str">
            <v>SEA</v>
          </cell>
          <cell r="I4372">
            <v>30</v>
          </cell>
          <cell r="J4372">
            <v>23</v>
          </cell>
          <cell r="L4372">
            <v>0</v>
          </cell>
        </row>
        <row r="4373">
          <cell r="B4373">
            <v>2026</v>
          </cell>
          <cell r="C4373">
            <v>5</v>
          </cell>
          <cell r="E4373" t="str">
            <v>SEA</v>
          </cell>
          <cell r="I4373">
            <v>29</v>
          </cell>
          <cell r="J4373">
            <v>32</v>
          </cell>
          <cell r="L4373">
            <v>0</v>
          </cell>
        </row>
        <row r="4374">
          <cell r="B4374">
            <v>2026</v>
          </cell>
          <cell r="C4374">
            <v>6</v>
          </cell>
          <cell r="E4374" t="str">
            <v>SEA</v>
          </cell>
          <cell r="I4374">
            <v>14</v>
          </cell>
          <cell r="J4374">
            <v>17</v>
          </cell>
          <cell r="L4374">
            <v>0</v>
          </cell>
        </row>
        <row r="4375">
          <cell r="B4375">
            <v>2026</v>
          </cell>
          <cell r="C4375">
            <v>7</v>
          </cell>
          <cell r="E4375" t="str">
            <v>SEA</v>
          </cell>
          <cell r="L4375">
            <v>0</v>
          </cell>
        </row>
        <row r="4376">
          <cell r="B4376">
            <v>2018</v>
          </cell>
          <cell r="C4376">
            <v>1</v>
          </cell>
          <cell r="E4376" t="str">
            <v>LAR</v>
          </cell>
          <cell r="I4376">
            <v>33</v>
          </cell>
          <cell r="J4376">
            <v>13</v>
          </cell>
          <cell r="L4376">
            <v>0</v>
          </cell>
        </row>
        <row r="4377">
          <cell r="B4377">
            <v>2018</v>
          </cell>
          <cell r="C4377">
            <v>2</v>
          </cell>
          <cell r="E4377" t="str">
            <v>LAR</v>
          </cell>
          <cell r="I4377">
            <v>34</v>
          </cell>
          <cell r="J4377">
            <v>0</v>
          </cell>
          <cell r="L4377">
            <v>0</v>
          </cell>
        </row>
        <row r="4378">
          <cell r="B4378">
            <v>2018</v>
          </cell>
          <cell r="C4378">
            <v>3</v>
          </cell>
          <cell r="E4378" t="str">
            <v>LAR</v>
          </cell>
          <cell r="I4378">
            <v>35</v>
          </cell>
          <cell r="J4378">
            <v>23</v>
          </cell>
          <cell r="L4378">
            <v>0</v>
          </cell>
        </row>
        <row r="4379">
          <cell r="B4379">
            <v>2018</v>
          </cell>
          <cell r="C4379">
            <v>4</v>
          </cell>
          <cell r="E4379" t="str">
            <v>LAR</v>
          </cell>
          <cell r="I4379">
            <v>38</v>
          </cell>
          <cell r="J4379">
            <v>31</v>
          </cell>
          <cell r="L4379">
            <v>0</v>
          </cell>
        </row>
        <row r="4380">
          <cell r="B4380">
            <v>2018</v>
          </cell>
          <cell r="C4380">
            <v>5</v>
          </cell>
          <cell r="E4380" t="str">
            <v>LAR</v>
          </cell>
          <cell r="I4380">
            <v>33</v>
          </cell>
          <cell r="J4380">
            <v>31</v>
          </cell>
          <cell r="L4380">
            <v>0</v>
          </cell>
        </row>
        <row r="4381">
          <cell r="B4381">
            <v>2018</v>
          </cell>
          <cell r="C4381">
            <v>6</v>
          </cell>
          <cell r="E4381" t="str">
            <v>LAR</v>
          </cell>
          <cell r="I4381">
            <v>23</v>
          </cell>
          <cell r="J4381">
            <v>20</v>
          </cell>
          <cell r="L4381">
            <v>0</v>
          </cell>
        </row>
        <row r="4382">
          <cell r="B4382">
            <v>2018</v>
          </cell>
          <cell r="C4382">
            <v>7</v>
          </cell>
          <cell r="E4382" t="str">
            <v>LAR</v>
          </cell>
          <cell r="I4382">
            <v>39</v>
          </cell>
          <cell r="J4382">
            <v>10</v>
          </cell>
          <cell r="L4382">
            <v>0</v>
          </cell>
        </row>
        <row r="4383">
          <cell r="B4383">
            <v>2018</v>
          </cell>
          <cell r="C4383">
            <v>8</v>
          </cell>
          <cell r="E4383" t="str">
            <v>LAR</v>
          </cell>
          <cell r="I4383">
            <v>29</v>
          </cell>
          <cell r="J4383">
            <v>27</v>
          </cell>
          <cell r="L4383">
            <v>0</v>
          </cell>
        </row>
        <row r="4384">
          <cell r="B4384">
            <v>2018</v>
          </cell>
          <cell r="C4384">
            <v>9</v>
          </cell>
          <cell r="E4384" t="str">
            <v>LAR</v>
          </cell>
          <cell r="I4384">
            <v>35</v>
          </cell>
          <cell r="J4384">
            <v>45</v>
          </cell>
          <cell r="L4384">
            <v>0</v>
          </cell>
        </row>
        <row r="4385">
          <cell r="B4385">
            <v>2018</v>
          </cell>
          <cell r="C4385">
            <v>10</v>
          </cell>
          <cell r="E4385" t="str">
            <v>LAR</v>
          </cell>
          <cell r="I4385">
            <v>36</v>
          </cell>
          <cell r="J4385">
            <v>31</v>
          </cell>
          <cell r="L4385">
            <v>0</v>
          </cell>
        </row>
        <row r="4386">
          <cell r="B4386">
            <v>2018</v>
          </cell>
          <cell r="C4386">
            <v>11</v>
          </cell>
          <cell r="E4386" t="str">
            <v>LAR</v>
          </cell>
          <cell r="I4386">
            <v>54</v>
          </cell>
          <cell r="J4386">
            <v>51</v>
          </cell>
          <cell r="L4386">
            <v>0</v>
          </cell>
        </row>
        <row r="4387">
          <cell r="B4387">
            <v>2018</v>
          </cell>
          <cell r="C4387">
            <v>13</v>
          </cell>
          <cell r="E4387" t="str">
            <v>LAR</v>
          </cell>
          <cell r="I4387">
            <v>30</v>
          </cell>
          <cell r="J4387">
            <v>16</v>
          </cell>
          <cell r="L4387">
            <v>0</v>
          </cell>
        </row>
        <row r="4388">
          <cell r="B4388">
            <v>2018</v>
          </cell>
          <cell r="C4388">
            <v>14</v>
          </cell>
          <cell r="E4388" t="str">
            <v>LAR</v>
          </cell>
          <cell r="I4388">
            <v>6</v>
          </cell>
          <cell r="J4388">
            <v>15</v>
          </cell>
          <cell r="L4388">
            <v>0</v>
          </cell>
        </row>
        <row r="4389">
          <cell r="B4389">
            <v>2018</v>
          </cell>
          <cell r="C4389">
            <v>15</v>
          </cell>
          <cell r="E4389" t="str">
            <v>LAR</v>
          </cell>
          <cell r="I4389">
            <v>23</v>
          </cell>
          <cell r="J4389">
            <v>30</v>
          </cell>
          <cell r="L4389">
            <v>0</v>
          </cell>
        </row>
        <row r="4390">
          <cell r="B4390">
            <v>2018</v>
          </cell>
          <cell r="C4390">
            <v>16</v>
          </cell>
          <cell r="E4390" t="str">
            <v>LAR</v>
          </cell>
          <cell r="I4390">
            <v>31</v>
          </cell>
          <cell r="J4390">
            <v>9</v>
          </cell>
          <cell r="L4390">
            <v>0</v>
          </cell>
        </row>
        <row r="4391">
          <cell r="B4391">
            <v>2018</v>
          </cell>
          <cell r="C4391">
            <v>17</v>
          </cell>
          <cell r="E4391" t="str">
            <v>LAR</v>
          </cell>
          <cell r="I4391">
            <v>48</v>
          </cell>
          <cell r="J4391">
            <v>32</v>
          </cell>
          <cell r="L4391">
            <v>0</v>
          </cell>
        </row>
        <row r="4392">
          <cell r="B4392">
            <v>2018</v>
          </cell>
          <cell r="C4392">
            <v>2</v>
          </cell>
          <cell r="E4392" t="str">
            <v>LAR</v>
          </cell>
          <cell r="I4392">
            <v>30</v>
          </cell>
          <cell r="J4392">
            <v>22</v>
          </cell>
          <cell r="L4392">
            <v>1</v>
          </cell>
        </row>
        <row r="4393">
          <cell r="B4393">
            <v>2018</v>
          </cell>
          <cell r="C4393">
            <v>3</v>
          </cell>
          <cell r="E4393" t="str">
            <v>LAR</v>
          </cell>
          <cell r="I4393">
            <v>26</v>
          </cell>
          <cell r="J4393">
            <v>23</v>
          </cell>
          <cell r="L4393">
            <v>1</v>
          </cell>
        </row>
        <row r="4394">
          <cell r="B4394">
            <v>2018</v>
          </cell>
          <cell r="C4394">
            <v>5</v>
          </cell>
          <cell r="E4394" t="str">
            <v>LAR</v>
          </cell>
          <cell r="I4394">
            <v>3</v>
          </cell>
          <cell r="J4394">
            <v>13</v>
          </cell>
          <cell r="L4394">
            <v>1</v>
          </cell>
        </row>
        <row r="4395">
          <cell r="B4395">
            <v>2019</v>
          </cell>
          <cell r="C4395">
            <v>1</v>
          </cell>
          <cell r="E4395" t="str">
            <v>LAR</v>
          </cell>
          <cell r="I4395">
            <v>30</v>
          </cell>
          <cell r="J4395">
            <v>27</v>
          </cell>
          <cell r="L4395">
            <v>0</v>
          </cell>
        </row>
        <row r="4396">
          <cell r="B4396">
            <v>2019</v>
          </cell>
          <cell r="C4396">
            <v>2</v>
          </cell>
          <cell r="E4396" t="str">
            <v>LAR</v>
          </cell>
          <cell r="I4396">
            <v>27</v>
          </cell>
          <cell r="J4396">
            <v>9</v>
          </cell>
          <cell r="L4396">
            <v>0</v>
          </cell>
        </row>
        <row r="4397">
          <cell r="B4397">
            <v>2019</v>
          </cell>
          <cell r="C4397">
            <v>3</v>
          </cell>
          <cell r="E4397" t="str">
            <v>LAR</v>
          </cell>
          <cell r="I4397">
            <v>20</v>
          </cell>
          <cell r="J4397">
            <v>13</v>
          </cell>
          <cell r="L4397">
            <v>0</v>
          </cell>
        </row>
        <row r="4398">
          <cell r="B4398">
            <v>2019</v>
          </cell>
          <cell r="C4398">
            <v>4</v>
          </cell>
          <cell r="E4398" t="str">
            <v>LAR</v>
          </cell>
          <cell r="I4398">
            <v>40</v>
          </cell>
          <cell r="J4398">
            <v>55</v>
          </cell>
          <cell r="L4398">
            <v>0</v>
          </cell>
        </row>
        <row r="4399">
          <cell r="B4399">
            <v>2019</v>
          </cell>
          <cell r="C4399">
            <v>5</v>
          </cell>
          <cell r="E4399" t="str">
            <v>LAR</v>
          </cell>
          <cell r="I4399">
            <v>29</v>
          </cell>
          <cell r="J4399">
            <v>30</v>
          </cell>
          <cell r="L4399">
            <v>0</v>
          </cell>
        </row>
        <row r="4400">
          <cell r="B4400">
            <v>2019</v>
          </cell>
          <cell r="C4400">
            <v>6</v>
          </cell>
          <cell r="E4400" t="str">
            <v>LAR</v>
          </cell>
          <cell r="I4400">
            <v>7</v>
          </cell>
          <cell r="J4400">
            <v>20</v>
          </cell>
          <cell r="L4400">
            <v>0</v>
          </cell>
        </row>
        <row r="4401">
          <cell r="B4401">
            <v>2019</v>
          </cell>
          <cell r="C4401">
            <v>7</v>
          </cell>
          <cell r="E4401" t="str">
            <v>LAR</v>
          </cell>
          <cell r="I4401">
            <v>37</v>
          </cell>
          <cell r="J4401">
            <v>10</v>
          </cell>
          <cell r="L4401">
            <v>0</v>
          </cell>
        </row>
        <row r="4402">
          <cell r="B4402">
            <v>2019</v>
          </cell>
          <cell r="C4402">
            <v>8</v>
          </cell>
          <cell r="E4402" t="str">
            <v>LAR</v>
          </cell>
          <cell r="I4402">
            <v>24</v>
          </cell>
          <cell r="J4402">
            <v>10</v>
          </cell>
          <cell r="L4402">
            <v>0</v>
          </cell>
        </row>
        <row r="4403">
          <cell r="B4403">
            <v>2019</v>
          </cell>
          <cell r="C4403">
            <v>10</v>
          </cell>
          <cell r="E4403" t="str">
            <v>LAR</v>
          </cell>
          <cell r="I4403">
            <v>12</v>
          </cell>
          <cell r="J4403">
            <v>17</v>
          </cell>
          <cell r="L4403">
            <v>0</v>
          </cell>
        </row>
        <row r="4404">
          <cell r="B4404">
            <v>2019</v>
          </cell>
          <cell r="C4404">
            <v>11</v>
          </cell>
          <cell r="E4404" t="str">
            <v>LAR</v>
          </cell>
          <cell r="I4404">
            <v>17</v>
          </cell>
          <cell r="J4404">
            <v>7</v>
          </cell>
          <cell r="L4404">
            <v>0</v>
          </cell>
        </row>
        <row r="4405">
          <cell r="B4405">
            <v>2019</v>
          </cell>
          <cell r="C4405">
            <v>12</v>
          </cell>
          <cell r="E4405" t="str">
            <v>LAR</v>
          </cell>
          <cell r="I4405">
            <v>6</v>
          </cell>
          <cell r="J4405">
            <v>45</v>
          </cell>
          <cell r="L4405">
            <v>0</v>
          </cell>
        </row>
        <row r="4406">
          <cell r="B4406">
            <v>2019</v>
          </cell>
          <cell r="C4406">
            <v>13</v>
          </cell>
          <cell r="E4406" t="str">
            <v>LAR</v>
          </cell>
          <cell r="I4406">
            <v>34</v>
          </cell>
          <cell r="J4406">
            <v>7</v>
          </cell>
          <cell r="L4406">
            <v>0</v>
          </cell>
        </row>
        <row r="4407">
          <cell r="B4407">
            <v>2019</v>
          </cell>
          <cell r="C4407">
            <v>14</v>
          </cell>
          <cell r="E4407" t="str">
            <v>LAR</v>
          </cell>
          <cell r="I4407">
            <v>28</v>
          </cell>
          <cell r="J4407">
            <v>12</v>
          </cell>
          <cell r="L4407">
            <v>0</v>
          </cell>
        </row>
        <row r="4408">
          <cell r="B4408">
            <v>2019</v>
          </cell>
          <cell r="C4408">
            <v>15</v>
          </cell>
          <cell r="E4408" t="str">
            <v>LAR</v>
          </cell>
          <cell r="I4408">
            <v>21</v>
          </cell>
          <cell r="J4408">
            <v>44</v>
          </cell>
          <cell r="L4408">
            <v>0</v>
          </cell>
        </row>
        <row r="4409">
          <cell r="B4409">
            <v>2019</v>
          </cell>
          <cell r="C4409">
            <v>16</v>
          </cell>
          <cell r="E4409" t="str">
            <v>LAR</v>
          </cell>
          <cell r="I4409">
            <v>31</v>
          </cell>
          <cell r="J4409">
            <v>34</v>
          </cell>
          <cell r="L4409">
            <v>0</v>
          </cell>
        </row>
        <row r="4410">
          <cell r="B4410">
            <v>2019</v>
          </cell>
          <cell r="C4410">
            <v>17</v>
          </cell>
          <cell r="E4410" t="str">
            <v>LAR</v>
          </cell>
          <cell r="I4410">
            <v>31</v>
          </cell>
          <cell r="J4410">
            <v>24</v>
          </cell>
          <cell r="L4410">
            <v>0</v>
          </cell>
        </row>
        <row r="4411">
          <cell r="B4411">
            <v>2020</v>
          </cell>
          <cell r="C4411">
            <v>1</v>
          </cell>
          <cell r="E4411" t="str">
            <v>LAR</v>
          </cell>
          <cell r="I4411">
            <v>20</v>
          </cell>
          <cell r="J4411">
            <v>17</v>
          </cell>
          <cell r="L4411">
            <v>0</v>
          </cell>
        </row>
        <row r="4412">
          <cell r="B4412">
            <v>2020</v>
          </cell>
          <cell r="C4412">
            <v>2</v>
          </cell>
          <cell r="E4412" t="str">
            <v>LAR</v>
          </cell>
          <cell r="I4412">
            <v>37</v>
          </cell>
          <cell r="J4412">
            <v>19</v>
          </cell>
          <cell r="L4412">
            <v>0</v>
          </cell>
        </row>
        <row r="4413">
          <cell r="B4413">
            <v>2020</v>
          </cell>
          <cell r="C4413">
            <v>3</v>
          </cell>
          <cell r="E4413" t="str">
            <v>LAR</v>
          </cell>
          <cell r="I4413">
            <v>32</v>
          </cell>
          <cell r="J4413">
            <v>35</v>
          </cell>
          <cell r="L4413">
            <v>0</v>
          </cell>
        </row>
        <row r="4414">
          <cell r="B4414">
            <v>2020</v>
          </cell>
          <cell r="C4414">
            <v>4</v>
          </cell>
          <cell r="E4414" t="str">
            <v>LAR</v>
          </cell>
          <cell r="I4414">
            <v>17</v>
          </cell>
          <cell r="J4414">
            <v>9</v>
          </cell>
          <cell r="L4414">
            <v>0</v>
          </cell>
        </row>
        <row r="4415">
          <cell r="B4415">
            <v>2020</v>
          </cell>
          <cell r="C4415">
            <v>5</v>
          </cell>
          <cell r="E4415" t="str">
            <v>LAR</v>
          </cell>
          <cell r="I4415">
            <v>30</v>
          </cell>
          <cell r="J4415">
            <v>10</v>
          </cell>
          <cell r="L4415">
            <v>0</v>
          </cell>
        </row>
        <row r="4416">
          <cell r="B4416">
            <v>2020</v>
          </cell>
          <cell r="C4416">
            <v>6</v>
          </cell>
          <cell r="E4416" t="str">
            <v>LAR</v>
          </cell>
          <cell r="I4416">
            <v>16</v>
          </cell>
          <cell r="J4416">
            <v>24</v>
          </cell>
          <cell r="L4416">
            <v>0</v>
          </cell>
        </row>
        <row r="4417">
          <cell r="B4417">
            <v>2020</v>
          </cell>
          <cell r="C4417">
            <v>7</v>
          </cell>
          <cell r="E4417" t="str">
            <v>LAR</v>
          </cell>
          <cell r="I4417">
            <v>24</v>
          </cell>
          <cell r="J4417">
            <v>10</v>
          </cell>
          <cell r="L4417">
            <v>0</v>
          </cell>
        </row>
        <row r="4418">
          <cell r="B4418">
            <v>2020</v>
          </cell>
          <cell r="C4418">
            <v>8</v>
          </cell>
          <cell r="E4418" t="str">
            <v>LAR</v>
          </cell>
          <cell r="I4418">
            <v>17</v>
          </cell>
          <cell r="J4418">
            <v>28</v>
          </cell>
          <cell r="L4418">
            <v>0</v>
          </cell>
        </row>
        <row r="4419">
          <cell r="B4419">
            <v>2020</v>
          </cell>
          <cell r="C4419">
            <v>10</v>
          </cell>
          <cell r="E4419" t="str">
            <v>LAR</v>
          </cell>
          <cell r="I4419">
            <v>23</v>
          </cell>
          <cell r="J4419">
            <v>16</v>
          </cell>
          <cell r="L4419">
            <v>0</v>
          </cell>
        </row>
        <row r="4420">
          <cell r="B4420">
            <v>2020</v>
          </cell>
          <cell r="C4420">
            <v>11</v>
          </cell>
          <cell r="E4420" t="str">
            <v>LAR</v>
          </cell>
          <cell r="I4420">
            <v>27</v>
          </cell>
          <cell r="J4420">
            <v>24</v>
          </cell>
          <cell r="L4420">
            <v>0</v>
          </cell>
        </row>
        <row r="4421">
          <cell r="B4421">
            <v>2020</v>
          </cell>
          <cell r="C4421">
            <v>12</v>
          </cell>
          <cell r="E4421" t="str">
            <v>LAR</v>
          </cell>
          <cell r="I4421">
            <v>20</v>
          </cell>
          <cell r="J4421">
            <v>23</v>
          </cell>
          <cell r="L4421">
            <v>0</v>
          </cell>
        </row>
        <row r="4422">
          <cell r="B4422">
            <v>2020</v>
          </cell>
          <cell r="C4422">
            <v>13</v>
          </cell>
          <cell r="E4422" t="str">
            <v>LAR</v>
          </cell>
          <cell r="I4422">
            <v>38</v>
          </cell>
          <cell r="J4422">
            <v>28</v>
          </cell>
          <cell r="L4422">
            <v>0</v>
          </cell>
        </row>
        <row r="4423">
          <cell r="B4423">
            <v>2020</v>
          </cell>
          <cell r="C4423">
            <v>14</v>
          </cell>
          <cell r="E4423" t="str">
            <v>LAR</v>
          </cell>
          <cell r="I4423">
            <v>24</v>
          </cell>
          <cell r="J4423">
            <v>3</v>
          </cell>
          <cell r="L4423">
            <v>0</v>
          </cell>
        </row>
        <row r="4424">
          <cell r="B4424">
            <v>2020</v>
          </cell>
          <cell r="C4424">
            <v>15</v>
          </cell>
          <cell r="E4424" t="str">
            <v>LAR</v>
          </cell>
          <cell r="I4424">
            <v>20</v>
          </cell>
          <cell r="J4424">
            <v>23</v>
          </cell>
          <cell r="L4424">
            <v>0</v>
          </cell>
        </row>
        <row r="4425">
          <cell r="B4425">
            <v>2020</v>
          </cell>
          <cell r="C4425">
            <v>16</v>
          </cell>
          <cell r="E4425" t="str">
            <v>LAR</v>
          </cell>
          <cell r="I4425">
            <v>9</v>
          </cell>
          <cell r="J4425">
            <v>20</v>
          </cell>
          <cell r="L4425">
            <v>0</v>
          </cell>
        </row>
        <row r="4426">
          <cell r="B4426">
            <v>2020</v>
          </cell>
          <cell r="C4426">
            <v>17</v>
          </cell>
          <cell r="E4426" t="str">
            <v>LAR</v>
          </cell>
          <cell r="I4426">
            <v>18</v>
          </cell>
          <cell r="J4426">
            <v>7</v>
          </cell>
          <cell r="L4426">
            <v>0</v>
          </cell>
        </row>
        <row r="4427">
          <cell r="B4427">
            <v>2020</v>
          </cell>
          <cell r="C4427">
            <v>1</v>
          </cell>
          <cell r="E4427" t="str">
            <v>LAR</v>
          </cell>
          <cell r="I4427">
            <v>30</v>
          </cell>
          <cell r="J4427">
            <v>20</v>
          </cell>
          <cell r="L4427">
            <v>1</v>
          </cell>
        </row>
        <row r="4428">
          <cell r="B4428">
            <v>2020</v>
          </cell>
          <cell r="C4428">
            <v>2</v>
          </cell>
          <cell r="E4428" t="str">
            <v>LAR</v>
          </cell>
          <cell r="I4428">
            <v>18</v>
          </cell>
          <cell r="J4428">
            <v>32</v>
          </cell>
          <cell r="L4428">
            <v>1</v>
          </cell>
        </row>
        <row r="4429">
          <cell r="B4429">
            <v>2021</v>
          </cell>
          <cell r="C4429">
            <v>1</v>
          </cell>
          <cell r="E4429" t="str">
            <v>LAR</v>
          </cell>
          <cell r="I4429">
            <v>34</v>
          </cell>
          <cell r="J4429">
            <v>14</v>
          </cell>
          <cell r="L4429">
            <v>0</v>
          </cell>
        </row>
        <row r="4430">
          <cell r="B4430">
            <v>2021</v>
          </cell>
          <cell r="C4430">
            <v>2</v>
          </cell>
          <cell r="E4430" t="str">
            <v>LAR</v>
          </cell>
          <cell r="I4430">
            <v>27</v>
          </cell>
          <cell r="J4430">
            <v>24</v>
          </cell>
          <cell r="L4430">
            <v>0</v>
          </cell>
        </row>
        <row r="4431">
          <cell r="B4431">
            <v>2021</v>
          </cell>
          <cell r="C4431">
            <v>3</v>
          </cell>
          <cell r="E4431" t="str">
            <v>LAR</v>
          </cell>
          <cell r="I4431">
            <v>34</v>
          </cell>
          <cell r="J4431">
            <v>24</v>
          </cell>
          <cell r="L4431">
            <v>0</v>
          </cell>
        </row>
        <row r="4432">
          <cell r="B4432">
            <v>2021</v>
          </cell>
          <cell r="C4432">
            <v>4</v>
          </cell>
          <cell r="E4432" t="str">
            <v>LAR</v>
          </cell>
          <cell r="I4432">
            <v>20</v>
          </cell>
          <cell r="J4432">
            <v>37</v>
          </cell>
          <cell r="L4432">
            <v>0</v>
          </cell>
        </row>
        <row r="4433">
          <cell r="B4433">
            <v>2021</v>
          </cell>
          <cell r="C4433">
            <v>5</v>
          </cell>
          <cell r="E4433" t="str">
            <v>LAR</v>
          </cell>
          <cell r="I4433">
            <v>26</v>
          </cell>
          <cell r="J4433">
            <v>17</v>
          </cell>
          <cell r="L4433">
            <v>0</v>
          </cell>
        </row>
        <row r="4434">
          <cell r="B4434">
            <v>2021</v>
          </cell>
          <cell r="C4434">
            <v>6</v>
          </cell>
          <cell r="E4434" t="str">
            <v>LAR</v>
          </cell>
          <cell r="I4434">
            <v>38</v>
          </cell>
          <cell r="J4434">
            <v>11</v>
          </cell>
          <cell r="L4434">
            <v>0</v>
          </cell>
        </row>
        <row r="4435">
          <cell r="B4435">
            <v>2021</v>
          </cell>
          <cell r="C4435">
            <v>7</v>
          </cell>
          <cell r="E4435" t="str">
            <v>LAR</v>
          </cell>
          <cell r="I4435">
            <v>28</v>
          </cell>
          <cell r="J4435">
            <v>19</v>
          </cell>
          <cell r="L4435">
            <v>0</v>
          </cell>
        </row>
        <row r="4436">
          <cell r="B4436">
            <v>2021</v>
          </cell>
          <cell r="C4436">
            <v>8</v>
          </cell>
          <cell r="E4436" t="str">
            <v>LAR</v>
          </cell>
          <cell r="I4436">
            <v>38</v>
          </cell>
          <cell r="J4436">
            <v>22</v>
          </cell>
          <cell r="L4436">
            <v>0</v>
          </cell>
        </row>
        <row r="4437">
          <cell r="B4437">
            <v>2021</v>
          </cell>
          <cell r="C4437">
            <v>9</v>
          </cell>
          <cell r="E4437" t="str">
            <v>LAR</v>
          </cell>
          <cell r="I4437">
            <v>16</v>
          </cell>
          <cell r="J4437">
            <v>28</v>
          </cell>
          <cell r="L4437">
            <v>0</v>
          </cell>
        </row>
        <row r="4438">
          <cell r="B4438">
            <v>2021</v>
          </cell>
          <cell r="C4438">
            <v>10</v>
          </cell>
          <cell r="E4438" t="str">
            <v>LAR</v>
          </cell>
          <cell r="I4438">
            <v>10</v>
          </cell>
          <cell r="J4438">
            <v>31</v>
          </cell>
          <cell r="L4438">
            <v>0</v>
          </cell>
        </row>
        <row r="4439">
          <cell r="B4439">
            <v>2021</v>
          </cell>
          <cell r="C4439">
            <v>12</v>
          </cell>
          <cell r="E4439" t="str">
            <v>LAR</v>
          </cell>
          <cell r="I4439">
            <v>28</v>
          </cell>
          <cell r="J4439">
            <v>36</v>
          </cell>
          <cell r="L4439">
            <v>0</v>
          </cell>
        </row>
        <row r="4440">
          <cell r="B4440">
            <v>2021</v>
          </cell>
          <cell r="C4440">
            <v>13</v>
          </cell>
          <cell r="E4440" t="str">
            <v>LAR</v>
          </cell>
          <cell r="I4440">
            <v>37</v>
          </cell>
          <cell r="J4440">
            <v>7</v>
          </cell>
          <cell r="L4440">
            <v>0</v>
          </cell>
        </row>
        <row r="4441">
          <cell r="B4441">
            <v>2021</v>
          </cell>
          <cell r="C4441">
            <v>14</v>
          </cell>
          <cell r="E4441" t="str">
            <v>LAR</v>
          </cell>
          <cell r="I4441">
            <v>30</v>
          </cell>
          <cell r="J4441">
            <v>23</v>
          </cell>
          <cell r="L4441">
            <v>0</v>
          </cell>
        </row>
        <row r="4442">
          <cell r="B4442">
            <v>2021</v>
          </cell>
          <cell r="C4442">
            <v>15</v>
          </cell>
          <cell r="E4442" t="str">
            <v>LAR</v>
          </cell>
          <cell r="I4442">
            <v>20</v>
          </cell>
          <cell r="J4442">
            <v>10</v>
          </cell>
          <cell r="L4442">
            <v>0</v>
          </cell>
        </row>
        <row r="4443">
          <cell r="B4443">
            <v>2021</v>
          </cell>
          <cell r="C4443">
            <v>16</v>
          </cell>
          <cell r="E4443" t="str">
            <v>LAR</v>
          </cell>
          <cell r="I4443">
            <v>30</v>
          </cell>
          <cell r="J4443">
            <v>23</v>
          </cell>
          <cell r="L4443">
            <v>0</v>
          </cell>
        </row>
        <row r="4444">
          <cell r="B4444">
            <v>2021</v>
          </cell>
          <cell r="C4444">
            <v>17</v>
          </cell>
          <cell r="E4444" t="str">
            <v>LAR</v>
          </cell>
          <cell r="I4444">
            <v>20</v>
          </cell>
          <cell r="J4444">
            <v>19</v>
          </cell>
          <cell r="L4444">
            <v>0</v>
          </cell>
        </row>
        <row r="4445">
          <cell r="B4445">
            <v>2021</v>
          </cell>
          <cell r="C4445">
            <v>18</v>
          </cell>
          <cell r="E4445" t="str">
            <v>LAR</v>
          </cell>
          <cell r="I4445">
            <v>24</v>
          </cell>
          <cell r="J4445">
            <v>27</v>
          </cell>
          <cell r="L4445">
            <v>0</v>
          </cell>
        </row>
        <row r="4446">
          <cell r="B4446">
            <v>2021</v>
          </cell>
          <cell r="C4446">
            <v>1</v>
          </cell>
          <cell r="E4446" t="str">
            <v>LAR</v>
          </cell>
          <cell r="I4446">
            <v>34</v>
          </cell>
          <cell r="J4446">
            <v>11</v>
          </cell>
          <cell r="L4446">
            <v>1</v>
          </cell>
        </row>
        <row r="4447">
          <cell r="B4447">
            <v>2021</v>
          </cell>
          <cell r="C4447">
            <v>2</v>
          </cell>
          <cell r="E4447" t="str">
            <v>LAR</v>
          </cell>
          <cell r="I4447">
            <v>30</v>
          </cell>
          <cell r="J4447">
            <v>27</v>
          </cell>
          <cell r="L4447">
            <v>1</v>
          </cell>
        </row>
        <row r="4448">
          <cell r="B4448">
            <v>2021</v>
          </cell>
          <cell r="C4448">
            <v>3</v>
          </cell>
          <cell r="E4448" t="str">
            <v>LAR</v>
          </cell>
          <cell r="I4448">
            <v>20</v>
          </cell>
          <cell r="J4448">
            <v>17</v>
          </cell>
          <cell r="L4448">
            <v>1</v>
          </cell>
        </row>
        <row r="4449">
          <cell r="B4449">
            <v>2021</v>
          </cell>
          <cell r="C4449">
            <v>5</v>
          </cell>
          <cell r="E4449" t="str">
            <v>LAR</v>
          </cell>
          <cell r="I4449">
            <v>23</v>
          </cell>
          <cell r="J4449">
            <v>20</v>
          </cell>
          <cell r="L4449">
            <v>1</v>
          </cell>
        </row>
        <row r="4450">
          <cell r="B4450">
            <v>2022</v>
          </cell>
          <cell r="C4450">
            <v>1</v>
          </cell>
          <cell r="E4450" t="str">
            <v>LAR</v>
          </cell>
          <cell r="I4450">
            <v>10</v>
          </cell>
          <cell r="J4450">
            <v>31</v>
          </cell>
          <cell r="L4450">
            <v>0</v>
          </cell>
        </row>
        <row r="4451">
          <cell r="B4451">
            <v>2022</v>
          </cell>
          <cell r="C4451">
            <v>2</v>
          </cell>
          <cell r="E4451" t="str">
            <v>LAR</v>
          </cell>
          <cell r="I4451">
            <v>31</v>
          </cell>
          <cell r="J4451">
            <v>27</v>
          </cell>
          <cell r="L4451">
            <v>0</v>
          </cell>
        </row>
        <row r="4452">
          <cell r="B4452">
            <v>2022</v>
          </cell>
          <cell r="C4452">
            <v>3</v>
          </cell>
          <cell r="E4452" t="str">
            <v>LAR</v>
          </cell>
          <cell r="I4452">
            <v>20</v>
          </cell>
          <cell r="J4452">
            <v>12</v>
          </cell>
          <cell r="L4452">
            <v>0</v>
          </cell>
        </row>
        <row r="4453">
          <cell r="B4453">
            <v>2022</v>
          </cell>
          <cell r="C4453">
            <v>4</v>
          </cell>
          <cell r="E4453" t="str">
            <v>LAR</v>
          </cell>
          <cell r="I4453">
            <v>9</v>
          </cell>
          <cell r="J4453">
            <v>24</v>
          </cell>
          <cell r="L4453">
            <v>0</v>
          </cell>
        </row>
        <row r="4454">
          <cell r="B4454">
            <v>2022</v>
          </cell>
          <cell r="C4454">
            <v>5</v>
          </cell>
          <cell r="E4454" t="str">
            <v>LAR</v>
          </cell>
          <cell r="I4454">
            <v>10</v>
          </cell>
          <cell r="J4454">
            <v>22</v>
          </cell>
          <cell r="L4454">
            <v>0</v>
          </cell>
        </row>
        <row r="4455">
          <cell r="B4455">
            <v>2022</v>
          </cell>
          <cell r="C4455">
            <v>6</v>
          </cell>
          <cell r="E4455" t="str">
            <v>LAR</v>
          </cell>
          <cell r="I4455">
            <v>24</v>
          </cell>
          <cell r="J4455">
            <v>10</v>
          </cell>
          <cell r="L4455">
            <v>0</v>
          </cell>
        </row>
        <row r="4456">
          <cell r="B4456">
            <v>2022</v>
          </cell>
          <cell r="C4456">
            <v>8</v>
          </cell>
          <cell r="E4456" t="str">
            <v>LAR</v>
          </cell>
          <cell r="I4456">
            <v>14</v>
          </cell>
          <cell r="J4456">
            <v>31</v>
          </cell>
          <cell r="L4456">
            <v>0</v>
          </cell>
        </row>
        <row r="4457">
          <cell r="B4457">
            <v>2022</v>
          </cell>
          <cell r="C4457">
            <v>9</v>
          </cell>
          <cell r="E4457" t="str">
            <v>LAR</v>
          </cell>
          <cell r="I4457">
            <v>13</v>
          </cell>
          <cell r="J4457">
            <v>16</v>
          </cell>
          <cell r="L4457">
            <v>0</v>
          </cell>
        </row>
        <row r="4458">
          <cell r="B4458">
            <v>2022</v>
          </cell>
          <cell r="C4458">
            <v>10</v>
          </cell>
          <cell r="E4458" t="str">
            <v>LAR</v>
          </cell>
          <cell r="I4458">
            <v>17</v>
          </cell>
          <cell r="J4458">
            <v>27</v>
          </cell>
          <cell r="L4458">
            <v>0</v>
          </cell>
        </row>
        <row r="4459">
          <cell r="B4459">
            <v>2022</v>
          </cell>
          <cell r="C4459">
            <v>11</v>
          </cell>
          <cell r="E4459" t="str">
            <v>LAR</v>
          </cell>
          <cell r="I4459">
            <v>20</v>
          </cell>
          <cell r="J4459">
            <v>27</v>
          </cell>
          <cell r="L4459">
            <v>0</v>
          </cell>
        </row>
        <row r="4460">
          <cell r="B4460">
            <v>2022</v>
          </cell>
          <cell r="C4460">
            <v>12</v>
          </cell>
          <cell r="E4460" t="str">
            <v>LAR</v>
          </cell>
          <cell r="I4460">
            <v>10</v>
          </cell>
          <cell r="J4460">
            <v>26</v>
          </cell>
          <cell r="L4460">
            <v>0</v>
          </cell>
        </row>
        <row r="4461">
          <cell r="B4461">
            <v>2022</v>
          </cell>
          <cell r="C4461">
            <v>13</v>
          </cell>
          <cell r="E4461" t="str">
            <v>LAR</v>
          </cell>
          <cell r="I4461">
            <v>23</v>
          </cell>
          <cell r="J4461">
            <v>27</v>
          </cell>
          <cell r="L4461">
            <v>0</v>
          </cell>
        </row>
        <row r="4462">
          <cell r="B4462">
            <v>2022</v>
          </cell>
          <cell r="C4462">
            <v>14</v>
          </cell>
          <cell r="E4462" t="str">
            <v>LAR</v>
          </cell>
          <cell r="I4462">
            <v>17</v>
          </cell>
          <cell r="J4462">
            <v>16</v>
          </cell>
          <cell r="L4462">
            <v>0</v>
          </cell>
        </row>
        <row r="4463">
          <cell r="B4463">
            <v>2022</v>
          </cell>
          <cell r="C4463">
            <v>15</v>
          </cell>
          <cell r="E4463" t="str">
            <v>LAR</v>
          </cell>
          <cell r="I4463">
            <v>12</v>
          </cell>
          <cell r="J4463">
            <v>24</v>
          </cell>
          <cell r="L4463">
            <v>0</v>
          </cell>
        </row>
        <row r="4464">
          <cell r="B4464">
            <v>2022</v>
          </cell>
          <cell r="C4464">
            <v>16</v>
          </cell>
          <cell r="E4464" t="str">
            <v>LAR</v>
          </cell>
          <cell r="I4464">
            <v>51</v>
          </cell>
          <cell r="J4464">
            <v>14</v>
          </cell>
          <cell r="L4464">
            <v>0</v>
          </cell>
        </row>
        <row r="4465">
          <cell r="B4465">
            <v>2022</v>
          </cell>
          <cell r="C4465">
            <v>17</v>
          </cell>
          <cell r="E4465" t="str">
            <v>LAR</v>
          </cell>
          <cell r="I4465">
            <v>10</v>
          </cell>
          <cell r="J4465">
            <v>31</v>
          </cell>
          <cell r="L4465">
            <v>0</v>
          </cell>
        </row>
        <row r="4466">
          <cell r="B4466">
            <v>2022</v>
          </cell>
          <cell r="C4466">
            <v>18</v>
          </cell>
          <cell r="E4466" t="str">
            <v>LAR</v>
          </cell>
          <cell r="I4466">
            <v>16</v>
          </cell>
          <cell r="J4466">
            <v>19</v>
          </cell>
          <cell r="L4466">
            <v>0</v>
          </cell>
        </row>
        <row r="4467">
          <cell r="B4467">
            <v>2023</v>
          </cell>
          <cell r="C4467">
            <v>1</v>
          </cell>
          <cell r="E4467" t="str">
            <v>LAR</v>
          </cell>
          <cell r="I4467">
            <v>30</v>
          </cell>
          <cell r="J4467">
            <v>13</v>
          </cell>
          <cell r="L4467">
            <v>0</v>
          </cell>
        </row>
        <row r="4468">
          <cell r="B4468">
            <v>2023</v>
          </cell>
          <cell r="C4468">
            <v>2</v>
          </cell>
          <cell r="E4468" t="str">
            <v>LAR</v>
          </cell>
          <cell r="I4468">
            <v>23</v>
          </cell>
          <cell r="J4468">
            <v>30</v>
          </cell>
          <cell r="L4468">
            <v>0</v>
          </cell>
        </row>
        <row r="4469">
          <cell r="B4469">
            <v>2023</v>
          </cell>
          <cell r="C4469">
            <v>3</v>
          </cell>
          <cell r="E4469" t="str">
            <v>LAR</v>
          </cell>
          <cell r="I4469">
            <v>16</v>
          </cell>
          <cell r="J4469">
            <v>19</v>
          </cell>
          <cell r="L4469">
            <v>0</v>
          </cell>
        </row>
        <row r="4470">
          <cell r="B4470">
            <v>2023</v>
          </cell>
          <cell r="C4470">
            <v>4</v>
          </cell>
          <cell r="E4470" t="str">
            <v>LAR</v>
          </cell>
          <cell r="I4470">
            <v>29</v>
          </cell>
          <cell r="J4470">
            <v>23</v>
          </cell>
          <cell r="L4470">
            <v>0</v>
          </cell>
        </row>
        <row r="4471">
          <cell r="B4471">
            <v>2023</v>
          </cell>
          <cell r="C4471">
            <v>5</v>
          </cell>
          <cell r="E4471" t="str">
            <v>LAR</v>
          </cell>
          <cell r="I4471">
            <v>14</v>
          </cell>
          <cell r="J4471">
            <v>23</v>
          </cell>
          <cell r="L4471">
            <v>0</v>
          </cell>
        </row>
        <row r="4472">
          <cell r="B4472">
            <v>2023</v>
          </cell>
          <cell r="C4472">
            <v>6</v>
          </cell>
          <cell r="E4472" t="str">
            <v>LAR</v>
          </cell>
          <cell r="I4472">
            <v>26</v>
          </cell>
          <cell r="J4472">
            <v>9</v>
          </cell>
          <cell r="L4472">
            <v>0</v>
          </cell>
        </row>
        <row r="4473">
          <cell r="B4473">
            <v>2023</v>
          </cell>
          <cell r="C4473">
            <v>7</v>
          </cell>
          <cell r="E4473" t="str">
            <v>LAR</v>
          </cell>
          <cell r="I4473">
            <v>17</v>
          </cell>
          <cell r="J4473">
            <v>24</v>
          </cell>
          <cell r="L4473">
            <v>0</v>
          </cell>
        </row>
        <row r="4474">
          <cell r="B4474">
            <v>2023</v>
          </cell>
          <cell r="C4474">
            <v>8</v>
          </cell>
          <cell r="E4474" t="str">
            <v>LAR</v>
          </cell>
          <cell r="I4474">
            <v>20</v>
          </cell>
          <cell r="J4474">
            <v>43</v>
          </cell>
          <cell r="L4474">
            <v>0</v>
          </cell>
        </row>
        <row r="4475">
          <cell r="B4475">
            <v>2023</v>
          </cell>
          <cell r="C4475">
            <v>9</v>
          </cell>
          <cell r="E4475" t="str">
            <v>LAR</v>
          </cell>
          <cell r="I4475">
            <v>3</v>
          </cell>
          <cell r="J4475">
            <v>20</v>
          </cell>
          <cell r="L4475">
            <v>0</v>
          </cell>
        </row>
        <row r="4476">
          <cell r="B4476">
            <v>2023</v>
          </cell>
          <cell r="C4476">
            <v>11</v>
          </cell>
          <cell r="E4476" t="str">
            <v>LAR</v>
          </cell>
          <cell r="I4476">
            <v>17</v>
          </cell>
          <cell r="J4476">
            <v>16</v>
          </cell>
          <cell r="L4476">
            <v>0</v>
          </cell>
        </row>
        <row r="4477">
          <cell r="B4477">
            <v>2023</v>
          </cell>
          <cell r="C4477">
            <v>12</v>
          </cell>
          <cell r="E4477" t="str">
            <v>LAR</v>
          </cell>
          <cell r="I4477">
            <v>37</v>
          </cell>
          <cell r="J4477">
            <v>14</v>
          </cell>
          <cell r="L4477">
            <v>0</v>
          </cell>
        </row>
        <row r="4478">
          <cell r="B4478">
            <v>2023</v>
          </cell>
          <cell r="C4478">
            <v>13</v>
          </cell>
          <cell r="E4478" t="str">
            <v>LAR</v>
          </cell>
          <cell r="I4478">
            <v>36</v>
          </cell>
          <cell r="J4478">
            <v>19</v>
          </cell>
          <cell r="L4478">
            <v>0</v>
          </cell>
        </row>
        <row r="4479">
          <cell r="B4479">
            <v>2023</v>
          </cell>
          <cell r="C4479">
            <v>14</v>
          </cell>
          <cell r="E4479" t="str">
            <v>LAR</v>
          </cell>
          <cell r="I4479">
            <v>31</v>
          </cell>
          <cell r="J4479">
            <v>37</v>
          </cell>
          <cell r="L4479">
            <v>0</v>
          </cell>
        </row>
        <row r="4480">
          <cell r="B4480">
            <v>2023</v>
          </cell>
          <cell r="C4480">
            <v>15</v>
          </cell>
          <cell r="E4480" t="str">
            <v>LAR</v>
          </cell>
          <cell r="I4480">
            <v>28</v>
          </cell>
          <cell r="J4480">
            <v>20</v>
          </cell>
          <cell r="L4480">
            <v>0</v>
          </cell>
        </row>
        <row r="4481">
          <cell r="B4481">
            <v>2023</v>
          </cell>
          <cell r="C4481">
            <v>16</v>
          </cell>
          <cell r="E4481" t="str">
            <v>LAR</v>
          </cell>
          <cell r="I4481">
            <v>30</v>
          </cell>
          <cell r="J4481">
            <v>22</v>
          </cell>
          <cell r="L4481">
            <v>0</v>
          </cell>
        </row>
        <row r="4482">
          <cell r="B4482">
            <v>2023</v>
          </cell>
          <cell r="C4482">
            <v>17</v>
          </cell>
          <cell r="E4482" t="str">
            <v>LAR</v>
          </cell>
          <cell r="I4482">
            <v>26</v>
          </cell>
          <cell r="J4482">
            <v>25</v>
          </cell>
          <cell r="L4482">
            <v>0</v>
          </cell>
        </row>
        <row r="4483">
          <cell r="B4483">
            <v>2023</v>
          </cell>
          <cell r="C4483">
            <v>18</v>
          </cell>
          <cell r="E4483" t="str">
            <v>LAR</v>
          </cell>
          <cell r="I4483">
            <v>21</v>
          </cell>
          <cell r="J4483">
            <v>20</v>
          </cell>
          <cell r="L4483">
            <v>0</v>
          </cell>
        </row>
        <row r="4484">
          <cell r="B4484">
            <v>2023</v>
          </cell>
          <cell r="C4484">
            <v>1</v>
          </cell>
          <cell r="E4484" t="str">
            <v>LAR</v>
          </cell>
          <cell r="I4484">
            <v>23</v>
          </cell>
          <cell r="J4484">
            <v>24</v>
          </cell>
          <cell r="L4484">
            <v>1</v>
          </cell>
        </row>
        <row r="4485">
          <cell r="B4485">
            <v>2024</v>
          </cell>
          <cell r="C4485">
            <v>1</v>
          </cell>
          <cell r="E4485" t="str">
            <v>LAR</v>
          </cell>
          <cell r="I4485">
            <v>20</v>
          </cell>
          <cell r="J4485">
            <v>26</v>
          </cell>
          <cell r="L4485">
            <v>0</v>
          </cell>
        </row>
        <row r="4486">
          <cell r="B4486">
            <v>2024</v>
          </cell>
          <cell r="C4486">
            <v>2</v>
          </cell>
          <cell r="E4486" t="str">
            <v>LAR</v>
          </cell>
          <cell r="I4486">
            <v>10</v>
          </cell>
          <cell r="J4486">
            <v>41</v>
          </cell>
          <cell r="L4486">
            <v>0</v>
          </cell>
        </row>
        <row r="4487">
          <cell r="B4487">
            <v>2024</v>
          </cell>
          <cell r="C4487">
            <v>3</v>
          </cell>
          <cell r="E4487" t="str">
            <v>LAR</v>
          </cell>
          <cell r="I4487">
            <v>27</v>
          </cell>
          <cell r="J4487">
            <v>24</v>
          </cell>
          <cell r="L4487">
            <v>0</v>
          </cell>
        </row>
        <row r="4488">
          <cell r="B4488">
            <v>2024</v>
          </cell>
          <cell r="C4488">
            <v>4</v>
          </cell>
          <cell r="E4488" t="str">
            <v>LAR</v>
          </cell>
          <cell r="I4488">
            <v>18</v>
          </cell>
          <cell r="J4488">
            <v>24</v>
          </cell>
          <cell r="L4488">
            <v>0</v>
          </cell>
        </row>
        <row r="4489">
          <cell r="B4489">
            <v>2024</v>
          </cell>
          <cell r="C4489">
            <v>5</v>
          </cell>
          <cell r="E4489" t="str">
            <v>LAR</v>
          </cell>
          <cell r="I4489">
            <v>19</v>
          </cell>
          <cell r="J4489">
            <v>24</v>
          </cell>
          <cell r="L4489">
            <v>0</v>
          </cell>
        </row>
        <row r="4490">
          <cell r="B4490">
            <v>2024</v>
          </cell>
          <cell r="C4490">
            <v>7</v>
          </cell>
          <cell r="E4490" t="str">
            <v>LAR</v>
          </cell>
          <cell r="I4490">
            <v>20</v>
          </cell>
          <cell r="J4490">
            <v>15</v>
          </cell>
          <cell r="L4490">
            <v>0</v>
          </cell>
        </row>
        <row r="4491">
          <cell r="B4491">
            <v>2024</v>
          </cell>
          <cell r="C4491">
            <v>8</v>
          </cell>
          <cell r="E4491" t="str">
            <v>LAR</v>
          </cell>
          <cell r="I4491">
            <v>30</v>
          </cell>
          <cell r="J4491">
            <v>20</v>
          </cell>
          <cell r="L4491">
            <v>0</v>
          </cell>
        </row>
        <row r="4492">
          <cell r="B4492">
            <v>2024</v>
          </cell>
          <cell r="C4492">
            <v>9</v>
          </cell>
          <cell r="E4492" t="str">
            <v>LAR</v>
          </cell>
          <cell r="I4492">
            <v>26</v>
          </cell>
          <cell r="J4492">
            <v>20</v>
          </cell>
          <cell r="L4492">
            <v>0</v>
          </cell>
        </row>
        <row r="4493">
          <cell r="B4493">
            <v>2024</v>
          </cell>
          <cell r="C4493">
            <v>10</v>
          </cell>
          <cell r="E4493" t="str">
            <v>LAR</v>
          </cell>
          <cell r="I4493">
            <v>15</v>
          </cell>
          <cell r="J4493">
            <v>23</v>
          </cell>
          <cell r="L4493">
            <v>0</v>
          </cell>
        </row>
        <row r="4494">
          <cell r="B4494">
            <v>2024</v>
          </cell>
          <cell r="C4494">
            <v>11</v>
          </cell>
          <cell r="E4494" t="str">
            <v>LAR</v>
          </cell>
          <cell r="I4494">
            <v>28</v>
          </cell>
          <cell r="J4494">
            <v>22</v>
          </cell>
          <cell r="L4494">
            <v>0</v>
          </cell>
        </row>
        <row r="4495">
          <cell r="B4495">
            <v>2024</v>
          </cell>
          <cell r="C4495">
            <v>12</v>
          </cell>
          <cell r="E4495" t="str">
            <v>LAR</v>
          </cell>
          <cell r="I4495">
            <v>20</v>
          </cell>
          <cell r="J4495">
            <v>37</v>
          </cell>
          <cell r="L4495">
            <v>0</v>
          </cell>
        </row>
        <row r="4496">
          <cell r="B4496">
            <v>2024</v>
          </cell>
          <cell r="C4496">
            <v>13</v>
          </cell>
          <cell r="E4496" t="str">
            <v>LAR</v>
          </cell>
          <cell r="I4496">
            <v>21</v>
          </cell>
          <cell r="J4496">
            <v>14</v>
          </cell>
          <cell r="L4496">
            <v>0</v>
          </cell>
        </row>
        <row r="4497">
          <cell r="B4497">
            <v>2024</v>
          </cell>
          <cell r="C4497">
            <v>14</v>
          </cell>
          <cell r="E4497" t="str">
            <v>LAR</v>
          </cell>
          <cell r="I4497">
            <v>44</v>
          </cell>
          <cell r="J4497">
            <v>42</v>
          </cell>
          <cell r="L4497">
            <v>0</v>
          </cell>
        </row>
        <row r="4498">
          <cell r="B4498">
            <v>2024</v>
          </cell>
          <cell r="C4498">
            <v>15</v>
          </cell>
          <cell r="E4498" t="str">
            <v>LAR</v>
          </cell>
          <cell r="I4498">
            <v>12</v>
          </cell>
          <cell r="J4498">
            <v>6</v>
          </cell>
          <cell r="L4498">
            <v>0</v>
          </cell>
        </row>
        <row r="4499">
          <cell r="B4499">
            <v>2024</v>
          </cell>
          <cell r="C4499">
            <v>16</v>
          </cell>
          <cell r="E4499" t="str">
            <v>LAR</v>
          </cell>
          <cell r="I4499">
            <v>19</v>
          </cell>
          <cell r="J4499">
            <v>9</v>
          </cell>
          <cell r="L4499">
            <v>0</v>
          </cell>
        </row>
        <row r="4500">
          <cell r="B4500">
            <v>2024</v>
          </cell>
          <cell r="C4500">
            <v>17</v>
          </cell>
          <cell r="E4500" t="str">
            <v>LAR</v>
          </cell>
          <cell r="I4500">
            <v>13</v>
          </cell>
          <cell r="J4500">
            <v>9</v>
          </cell>
          <cell r="L4500">
            <v>0</v>
          </cell>
        </row>
        <row r="4501">
          <cell r="B4501">
            <v>2024</v>
          </cell>
          <cell r="C4501">
            <v>18</v>
          </cell>
          <cell r="E4501" t="str">
            <v>LAR</v>
          </cell>
          <cell r="I4501">
            <v>25</v>
          </cell>
          <cell r="J4501">
            <v>30</v>
          </cell>
          <cell r="L4501">
            <v>0</v>
          </cell>
        </row>
        <row r="4502">
          <cell r="B4502">
            <v>2024</v>
          </cell>
          <cell r="C4502">
            <v>1</v>
          </cell>
          <cell r="E4502" t="str">
            <v>LAR</v>
          </cell>
          <cell r="I4502">
            <v>27</v>
          </cell>
          <cell r="J4502">
            <v>9</v>
          </cell>
          <cell r="L4502">
            <v>1</v>
          </cell>
        </row>
        <row r="4503">
          <cell r="B4503">
            <v>2024</v>
          </cell>
          <cell r="C4503">
            <v>2</v>
          </cell>
          <cell r="E4503" t="str">
            <v>LAR</v>
          </cell>
          <cell r="I4503">
            <v>22</v>
          </cell>
          <cell r="J4503">
            <v>28</v>
          </cell>
          <cell r="L4503">
            <v>1</v>
          </cell>
        </row>
        <row r="4504">
          <cell r="B4504">
            <v>2025</v>
          </cell>
          <cell r="C4504">
            <v>1</v>
          </cell>
          <cell r="E4504" t="str">
            <v>LAR</v>
          </cell>
          <cell r="I4504">
            <v>14</v>
          </cell>
          <cell r="J4504">
            <v>9</v>
          </cell>
          <cell r="L4504">
            <v>0</v>
          </cell>
        </row>
        <row r="4505">
          <cell r="B4505">
            <v>2025</v>
          </cell>
          <cell r="C4505">
            <v>2</v>
          </cell>
          <cell r="E4505" t="str">
            <v>LAR</v>
          </cell>
          <cell r="I4505">
            <v>33</v>
          </cell>
          <cell r="J4505">
            <v>19</v>
          </cell>
          <cell r="L4505">
            <v>0</v>
          </cell>
        </row>
        <row r="4506">
          <cell r="B4506">
            <v>2025</v>
          </cell>
          <cell r="C4506">
            <v>3</v>
          </cell>
          <cell r="E4506" t="str">
            <v>LAR</v>
          </cell>
          <cell r="I4506">
            <v>26</v>
          </cell>
          <cell r="J4506">
            <v>33</v>
          </cell>
          <cell r="L4506">
            <v>0</v>
          </cell>
        </row>
        <row r="4507">
          <cell r="B4507">
            <v>2025</v>
          </cell>
          <cell r="C4507">
            <v>4</v>
          </cell>
          <cell r="E4507" t="str">
            <v>LAR</v>
          </cell>
          <cell r="I4507">
            <v>27</v>
          </cell>
          <cell r="J4507">
            <v>20</v>
          </cell>
          <cell r="L4507">
            <v>0</v>
          </cell>
        </row>
        <row r="4508">
          <cell r="B4508">
            <v>2025</v>
          </cell>
          <cell r="C4508">
            <v>5</v>
          </cell>
          <cell r="E4508" t="str">
            <v>LAR</v>
          </cell>
          <cell r="I4508">
            <v>23</v>
          </cell>
          <cell r="J4508">
            <v>26</v>
          </cell>
          <cell r="L4508">
            <v>0</v>
          </cell>
        </row>
        <row r="4509">
          <cell r="B4509">
            <v>2025</v>
          </cell>
          <cell r="C4509">
            <v>6</v>
          </cell>
          <cell r="E4509" t="str">
            <v>LAR</v>
          </cell>
          <cell r="I4509">
            <v>17</v>
          </cell>
          <cell r="J4509">
            <v>3</v>
          </cell>
          <cell r="L4509">
            <v>0</v>
          </cell>
        </row>
        <row r="4510">
          <cell r="B4510">
            <v>2025</v>
          </cell>
          <cell r="C4510">
            <v>7</v>
          </cell>
          <cell r="E4510" t="str">
            <v>LAR</v>
          </cell>
          <cell r="I4510">
            <v>35</v>
          </cell>
          <cell r="J4510">
            <v>7</v>
          </cell>
          <cell r="L4510">
            <v>0</v>
          </cell>
        </row>
        <row r="4511">
          <cell r="B4511">
            <v>2025</v>
          </cell>
          <cell r="C4511">
            <v>9</v>
          </cell>
          <cell r="E4511" t="str">
            <v>LAR</v>
          </cell>
          <cell r="I4511">
            <v>34</v>
          </cell>
          <cell r="J4511">
            <v>10</v>
          </cell>
          <cell r="L4511">
            <v>0</v>
          </cell>
        </row>
        <row r="4512">
          <cell r="B4512">
            <v>2025</v>
          </cell>
          <cell r="C4512">
            <v>10</v>
          </cell>
          <cell r="E4512" t="str">
            <v>LAR</v>
          </cell>
          <cell r="I4512">
            <v>42</v>
          </cell>
          <cell r="J4512">
            <v>26</v>
          </cell>
          <cell r="L4512">
            <v>0</v>
          </cell>
        </row>
        <row r="4513">
          <cell r="B4513">
            <v>2025</v>
          </cell>
          <cell r="C4513">
            <v>11</v>
          </cell>
          <cell r="E4513" t="str">
            <v>LAR</v>
          </cell>
          <cell r="I4513">
            <v>21</v>
          </cell>
          <cell r="J4513">
            <v>19</v>
          </cell>
          <cell r="L4513">
            <v>0</v>
          </cell>
        </row>
        <row r="4514">
          <cell r="B4514">
            <v>2025</v>
          </cell>
          <cell r="C4514">
            <v>12</v>
          </cell>
          <cell r="E4514" t="str">
            <v>LAR</v>
          </cell>
          <cell r="I4514">
            <v>34</v>
          </cell>
          <cell r="J4514">
            <v>7</v>
          </cell>
          <cell r="L4514">
            <v>0</v>
          </cell>
        </row>
        <row r="4515">
          <cell r="B4515">
            <v>2025</v>
          </cell>
          <cell r="C4515">
            <v>13</v>
          </cell>
          <cell r="E4515" t="str">
            <v>LAR</v>
          </cell>
          <cell r="I4515">
            <v>28</v>
          </cell>
          <cell r="J4515">
            <v>31</v>
          </cell>
          <cell r="L4515">
            <v>0</v>
          </cell>
        </row>
        <row r="4516">
          <cell r="B4516">
            <v>2025</v>
          </cell>
          <cell r="C4516">
            <v>14</v>
          </cell>
          <cell r="E4516" t="str">
            <v>LAR</v>
          </cell>
          <cell r="I4516">
            <v>45</v>
          </cell>
          <cell r="J4516">
            <v>17</v>
          </cell>
          <cell r="L4516">
            <v>0</v>
          </cell>
        </row>
        <row r="4517">
          <cell r="B4517">
            <v>2025</v>
          </cell>
          <cell r="C4517">
            <v>15</v>
          </cell>
          <cell r="E4517" t="str">
            <v>LAR</v>
          </cell>
          <cell r="I4517">
            <v>41</v>
          </cell>
          <cell r="J4517">
            <v>34</v>
          </cell>
          <cell r="L4517">
            <v>0</v>
          </cell>
        </row>
        <row r="4518">
          <cell r="B4518">
            <v>2025</v>
          </cell>
          <cell r="C4518">
            <v>16</v>
          </cell>
          <cell r="E4518" t="str">
            <v>LAR</v>
          </cell>
          <cell r="I4518">
            <v>37</v>
          </cell>
          <cell r="J4518">
            <v>38</v>
          </cell>
          <cell r="L4518">
            <v>0</v>
          </cell>
        </row>
        <row r="4519">
          <cell r="B4519">
            <v>2025</v>
          </cell>
          <cell r="C4519">
            <v>17</v>
          </cell>
          <cell r="E4519" t="str">
            <v>LAR</v>
          </cell>
          <cell r="I4519">
            <v>24</v>
          </cell>
          <cell r="J4519">
            <v>27</v>
          </cell>
          <cell r="L4519">
            <v>0</v>
          </cell>
        </row>
        <row r="4520">
          <cell r="B4520">
            <v>2025</v>
          </cell>
          <cell r="C4520">
            <v>18</v>
          </cell>
          <cell r="E4520" t="str">
            <v>LAR</v>
          </cell>
          <cell r="I4520">
            <v>37</v>
          </cell>
          <cell r="J4520">
            <v>20</v>
          </cell>
          <cell r="L4520">
            <v>0</v>
          </cell>
        </row>
        <row r="4521">
          <cell r="B4521">
            <v>2025</v>
          </cell>
          <cell r="C4521">
            <v>1</v>
          </cell>
          <cell r="E4521" t="str">
            <v>LAR</v>
          </cell>
          <cell r="I4521">
            <v>34</v>
          </cell>
          <cell r="J4521">
            <v>31</v>
          </cell>
          <cell r="L4521">
            <v>1</v>
          </cell>
        </row>
        <row r="4522">
          <cell r="B4522">
            <v>2025</v>
          </cell>
          <cell r="C4522">
            <v>2</v>
          </cell>
          <cell r="E4522" t="str">
            <v>LAR</v>
          </cell>
          <cell r="I4522">
            <v>20</v>
          </cell>
          <cell r="J4522">
            <v>17</v>
          </cell>
          <cell r="L4522">
            <v>1</v>
          </cell>
        </row>
        <row r="4523">
          <cell r="B4523">
            <v>2025</v>
          </cell>
          <cell r="C4523">
            <v>3</v>
          </cell>
          <cell r="E4523" t="str">
            <v>LAR</v>
          </cell>
          <cell r="I4523">
            <v>27</v>
          </cell>
          <cell r="J4523">
            <v>31</v>
          </cell>
          <cell r="L4523">
            <v>1</v>
          </cell>
        </row>
        <row r="4524">
          <cell r="B4524">
            <v>2026</v>
          </cell>
          <cell r="C4524">
            <v>1</v>
          </cell>
          <cell r="E4524" t="str">
            <v>LAR</v>
          </cell>
          <cell r="I4524">
            <v>7</v>
          </cell>
          <cell r="J4524">
            <v>27</v>
          </cell>
          <cell r="L4524">
            <v>0</v>
          </cell>
        </row>
        <row r="4525">
          <cell r="B4525">
            <v>2026</v>
          </cell>
          <cell r="C4525">
            <v>2</v>
          </cell>
          <cell r="E4525" t="str">
            <v>LAR</v>
          </cell>
          <cell r="I4525">
            <v>28</v>
          </cell>
          <cell r="J4525">
            <v>6</v>
          </cell>
          <cell r="L4525">
            <v>0</v>
          </cell>
        </row>
        <row r="4526">
          <cell r="B4526">
            <v>2026</v>
          </cell>
          <cell r="C4526">
            <v>3</v>
          </cell>
          <cell r="E4526" t="str">
            <v>LAR</v>
          </cell>
          <cell r="I4526">
            <v>26</v>
          </cell>
          <cell r="J4526">
            <v>30</v>
          </cell>
          <cell r="L4526">
            <v>0</v>
          </cell>
        </row>
        <row r="4527">
          <cell r="B4527">
            <v>2026</v>
          </cell>
          <cell r="C4527">
            <v>4</v>
          </cell>
          <cell r="E4527" t="str">
            <v>LAR</v>
          </cell>
          <cell r="I4527">
            <v>24</v>
          </cell>
          <cell r="J4527">
            <v>20</v>
          </cell>
          <cell r="L4527">
            <v>0</v>
          </cell>
        </row>
        <row r="4528">
          <cell r="B4528">
            <v>2026</v>
          </cell>
          <cell r="C4528">
            <v>5</v>
          </cell>
          <cell r="E4528" t="str">
            <v>LAR</v>
          </cell>
          <cell r="I4528">
            <v>34</v>
          </cell>
          <cell r="J4528">
            <v>37</v>
          </cell>
          <cell r="L4528">
            <v>0</v>
          </cell>
        </row>
        <row r="4529">
          <cell r="B4529">
            <v>2026</v>
          </cell>
          <cell r="C4529">
            <v>6</v>
          </cell>
          <cell r="E4529" t="str">
            <v>LAR</v>
          </cell>
          <cell r="I4529">
            <v>16</v>
          </cell>
          <cell r="J4529">
            <v>18</v>
          </cell>
          <cell r="L4529">
            <v>0</v>
          </cell>
        </row>
        <row r="4530">
          <cell r="B4530">
            <v>2026</v>
          </cell>
          <cell r="C4530">
            <v>7</v>
          </cell>
          <cell r="E4530" t="str">
            <v>LAR</v>
          </cell>
          <cell r="L4530">
            <v>0</v>
          </cell>
        </row>
        <row r="4531">
          <cell r="B4531">
            <v>2018</v>
          </cell>
          <cell r="C4531">
            <v>1</v>
          </cell>
          <cell r="E4531" t="str">
            <v>ARI</v>
          </cell>
          <cell r="I4531">
            <v>6</v>
          </cell>
          <cell r="J4531">
            <v>24</v>
          </cell>
          <cell r="L4531">
            <v>0</v>
          </cell>
        </row>
        <row r="4532">
          <cell r="B4532">
            <v>2018</v>
          </cell>
          <cell r="C4532">
            <v>2</v>
          </cell>
          <cell r="E4532" t="str">
            <v>ARI</v>
          </cell>
          <cell r="I4532">
            <v>0</v>
          </cell>
          <cell r="J4532">
            <v>34</v>
          </cell>
          <cell r="L4532">
            <v>0</v>
          </cell>
        </row>
        <row r="4533">
          <cell r="B4533">
            <v>2018</v>
          </cell>
          <cell r="C4533">
            <v>3</v>
          </cell>
          <cell r="E4533" t="str">
            <v>ARI</v>
          </cell>
          <cell r="I4533">
            <v>14</v>
          </cell>
          <cell r="J4533">
            <v>16</v>
          </cell>
          <cell r="L4533">
            <v>0</v>
          </cell>
        </row>
        <row r="4534">
          <cell r="B4534">
            <v>2018</v>
          </cell>
          <cell r="C4534">
            <v>4</v>
          </cell>
          <cell r="E4534" t="str">
            <v>ARI</v>
          </cell>
          <cell r="I4534">
            <v>17</v>
          </cell>
          <cell r="J4534">
            <v>20</v>
          </cell>
          <cell r="L4534">
            <v>0</v>
          </cell>
        </row>
        <row r="4535">
          <cell r="B4535">
            <v>2018</v>
          </cell>
          <cell r="C4535">
            <v>5</v>
          </cell>
          <cell r="E4535" t="str">
            <v>ARI</v>
          </cell>
          <cell r="I4535">
            <v>28</v>
          </cell>
          <cell r="J4535">
            <v>18</v>
          </cell>
          <cell r="L4535">
            <v>0</v>
          </cell>
        </row>
        <row r="4536">
          <cell r="B4536">
            <v>2018</v>
          </cell>
          <cell r="C4536">
            <v>6</v>
          </cell>
          <cell r="E4536" t="str">
            <v>ARI</v>
          </cell>
          <cell r="I4536">
            <v>17</v>
          </cell>
          <cell r="J4536">
            <v>27</v>
          </cell>
          <cell r="L4536">
            <v>0</v>
          </cell>
        </row>
        <row r="4537">
          <cell r="B4537">
            <v>2018</v>
          </cell>
          <cell r="C4537">
            <v>7</v>
          </cell>
          <cell r="E4537" t="str">
            <v>ARI</v>
          </cell>
          <cell r="I4537">
            <v>10</v>
          </cell>
          <cell r="J4537">
            <v>45</v>
          </cell>
          <cell r="L4537">
            <v>0</v>
          </cell>
        </row>
        <row r="4538">
          <cell r="B4538">
            <v>2018</v>
          </cell>
          <cell r="C4538">
            <v>8</v>
          </cell>
          <cell r="E4538" t="str">
            <v>ARI</v>
          </cell>
          <cell r="I4538">
            <v>18</v>
          </cell>
          <cell r="J4538">
            <v>15</v>
          </cell>
          <cell r="L4538">
            <v>0</v>
          </cell>
        </row>
        <row r="4539">
          <cell r="B4539">
            <v>2018</v>
          </cell>
          <cell r="C4539">
            <v>10</v>
          </cell>
          <cell r="E4539" t="str">
            <v>ARI</v>
          </cell>
          <cell r="I4539">
            <v>14</v>
          </cell>
          <cell r="J4539">
            <v>26</v>
          </cell>
          <cell r="L4539">
            <v>0</v>
          </cell>
        </row>
        <row r="4540">
          <cell r="B4540">
            <v>2018</v>
          </cell>
          <cell r="C4540">
            <v>11</v>
          </cell>
          <cell r="E4540" t="str">
            <v>ARI</v>
          </cell>
          <cell r="I4540">
            <v>21</v>
          </cell>
          <cell r="J4540">
            <v>23</v>
          </cell>
          <cell r="L4540">
            <v>0</v>
          </cell>
        </row>
        <row r="4541">
          <cell r="B4541">
            <v>2018</v>
          </cell>
          <cell r="C4541">
            <v>12</v>
          </cell>
          <cell r="E4541" t="str">
            <v>ARI</v>
          </cell>
          <cell r="I4541">
            <v>10</v>
          </cell>
          <cell r="J4541">
            <v>45</v>
          </cell>
          <cell r="L4541">
            <v>0</v>
          </cell>
        </row>
        <row r="4542">
          <cell r="B4542">
            <v>2018</v>
          </cell>
          <cell r="C4542">
            <v>13</v>
          </cell>
          <cell r="E4542" t="str">
            <v>ARI</v>
          </cell>
          <cell r="I4542">
            <v>20</v>
          </cell>
          <cell r="J4542">
            <v>17</v>
          </cell>
          <cell r="L4542">
            <v>0</v>
          </cell>
        </row>
        <row r="4543">
          <cell r="B4543">
            <v>2018</v>
          </cell>
          <cell r="C4543">
            <v>14</v>
          </cell>
          <cell r="E4543" t="str">
            <v>ARI</v>
          </cell>
          <cell r="I4543">
            <v>3</v>
          </cell>
          <cell r="J4543">
            <v>17</v>
          </cell>
          <cell r="L4543">
            <v>0</v>
          </cell>
        </row>
        <row r="4544">
          <cell r="B4544">
            <v>2018</v>
          </cell>
          <cell r="C4544">
            <v>15</v>
          </cell>
          <cell r="E4544" t="str">
            <v>ARI</v>
          </cell>
          <cell r="I4544">
            <v>14</v>
          </cell>
          <cell r="J4544">
            <v>40</v>
          </cell>
          <cell r="L4544">
            <v>0</v>
          </cell>
        </row>
        <row r="4545">
          <cell r="B4545">
            <v>2018</v>
          </cell>
          <cell r="C4545">
            <v>16</v>
          </cell>
          <cell r="E4545" t="str">
            <v>ARI</v>
          </cell>
          <cell r="I4545">
            <v>9</v>
          </cell>
          <cell r="J4545">
            <v>31</v>
          </cell>
          <cell r="L4545">
            <v>0</v>
          </cell>
        </row>
        <row r="4546">
          <cell r="B4546">
            <v>2018</v>
          </cell>
          <cell r="C4546">
            <v>17</v>
          </cell>
          <cell r="E4546" t="str">
            <v>ARI</v>
          </cell>
          <cell r="I4546">
            <v>24</v>
          </cell>
          <cell r="J4546">
            <v>27</v>
          </cell>
          <cell r="L4546">
            <v>0</v>
          </cell>
        </row>
        <row r="4547">
          <cell r="B4547">
            <v>2019</v>
          </cell>
          <cell r="C4547">
            <v>1</v>
          </cell>
          <cell r="E4547" t="str">
            <v>ARI</v>
          </cell>
          <cell r="I4547">
            <v>27</v>
          </cell>
          <cell r="J4547">
            <v>27</v>
          </cell>
          <cell r="L4547">
            <v>0</v>
          </cell>
        </row>
        <row r="4548">
          <cell r="B4548">
            <v>2019</v>
          </cell>
          <cell r="C4548">
            <v>2</v>
          </cell>
          <cell r="E4548" t="str">
            <v>ARI</v>
          </cell>
          <cell r="I4548">
            <v>17</v>
          </cell>
          <cell r="J4548">
            <v>23</v>
          </cell>
          <cell r="L4548">
            <v>0</v>
          </cell>
        </row>
        <row r="4549">
          <cell r="B4549">
            <v>2019</v>
          </cell>
          <cell r="C4549">
            <v>3</v>
          </cell>
          <cell r="E4549" t="str">
            <v>ARI</v>
          </cell>
          <cell r="I4549">
            <v>20</v>
          </cell>
          <cell r="J4549">
            <v>38</v>
          </cell>
          <cell r="L4549">
            <v>0</v>
          </cell>
        </row>
        <row r="4550">
          <cell r="B4550">
            <v>2019</v>
          </cell>
          <cell r="C4550">
            <v>4</v>
          </cell>
          <cell r="E4550" t="str">
            <v>ARI</v>
          </cell>
          <cell r="I4550">
            <v>10</v>
          </cell>
          <cell r="J4550">
            <v>27</v>
          </cell>
          <cell r="L4550">
            <v>0</v>
          </cell>
        </row>
        <row r="4551">
          <cell r="B4551">
            <v>2019</v>
          </cell>
          <cell r="C4551">
            <v>5</v>
          </cell>
          <cell r="E4551" t="str">
            <v>ARI</v>
          </cell>
          <cell r="I4551">
            <v>26</v>
          </cell>
          <cell r="J4551">
            <v>23</v>
          </cell>
          <cell r="L4551">
            <v>0</v>
          </cell>
        </row>
        <row r="4552">
          <cell r="B4552">
            <v>2019</v>
          </cell>
          <cell r="C4552">
            <v>6</v>
          </cell>
          <cell r="E4552" t="str">
            <v>ARI</v>
          </cell>
          <cell r="I4552">
            <v>34</v>
          </cell>
          <cell r="J4552">
            <v>33</v>
          </cell>
          <cell r="L4552">
            <v>0</v>
          </cell>
        </row>
        <row r="4553">
          <cell r="B4553">
            <v>2019</v>
          </cell>
          <cell r="C4553">
            <v>7</v>
          </cell>
          <cell r="E4553" t="str">
            <v>ARI</v>
          </cell>
          <cell r="I4553">
            <v>27</v>
          </cell>
          <cell r="J4553">
            <v>21</v>
          </cell>
          <cell r="L4553">
            <v>0</v>
          </cell>
        </row>
        <row r="4554">
          <cell r="B4554">
            <v>2019</v>
          </cell>
          <cell r="C4554">
            <v>8</v>
          </cell>
          <cell r="E4554" t="str">
            <v>ARI</v>
          </cell>
          <cell r="I4554">
            <v>9</v>
          </cell>
          <cell r="J4554">
            <v>31</v>
          </cell>
          <cell r="L4554">
            <v>0</v>
          </cell>
        </row>
        <row r="4555">
          <cell r="B4555">
            <v>2019</v>
          </cell>
          <cell r="C4555">
            <v>9</v>
          </cell>
          <cell r="E4555" t="str">
            <v>ARI</v>
          </cell>
          <cell r="I4555">
            <v>25</v>
          </cell>
          <cell r="J4555">
            <v>28</v>
          </cell>
          <cell r="L4555">
            <v>0</v>
          </cell>
        </row>
        <row r="4556">
          <cell r="B4556">
            <v>2019</v>
          </cell>
          <cell r="C4556">
            <v>10</v>
          </cell>
          <cell r="E4556" t="str">
            <v>ARI</v>
          </cell>
          <cell r="I4556">
            <v>27</v>
          </cell>
          <cell r="J4556">
            <v>30</v>
          </cell>
          <cell r="L4556">
            <v>0</v>
          </cell>
        </row>
        <row r="4557">
          <cell r="B4557">
            <v>2019</v>
          </cell>
          <cell r="C4557">
            <v>11</v>
          </cell>
          <cell r="E4557" t="str">
            <v>ARI</v>
          </cell>
          <cell r="I4557">
            <v>26</v>
          </cell>
          <cell r="J4557">
            <v>36</v>
          </cell>
          <cell r="L4557">
            <v>0</v>
          </cell>
        </row>
        <row r="4558">
          <cell r="B4558">
            <v>2019</v>
          </cell>
          <cell r="C4558">
            <v>13</v>
          </cell>
          <cell r="E4558" t="str">
            <v>ARI</v>
          </cell>
          <cell r="I4558">
            <v>7</v>
          </cell>
          <cell r="J4558">
            <v>34</v>
          </cell>
          <cell r="L4558">
            <v>0</v>
          </cell>
        </row>
        <row r="4559">
          <cell r="B4559">
            <v>2019</v>
          </cell>
          <cell r="C4559">
            <v>14</v>
          </cell>
          <cell r="E4559" t="str">
            <v>ARI</v>
          </cell>
          <cell r="I4559">
            <v>17</v>
          </cell>
          <cell r="J4559">
            <v>23</v>
          </cell>
          <cell r="L4559">
            <v>0</v>
          </cell>
        </row>
        <row r="4560">
          <cell r="B4560">
            <v>2019</v>
          </cell>
          <cell r="C4560">
            <v>15</v>
          </cell>
          <cell r="E4560" t="str">
            <v>ARI</v>
          </cell>
          <cell r="I4560">
            <v>38</v>
          </cell>
          <cell r="J4560">
            <v>24</v>
          </cell>
          <cell r="L4560">
            <v>0</v>
          </cell>
        </row>
        <row r="4561">
          <cell r="B4561">
            <v>2019</v>
          </cell>
          <cell r="C4561">
            <v>16</v>
          </cell>
          <cell r="E4561" t="str">
            <v>ARI</v>
          </cell>
          <cell r="I4561">
            <v>27</v>
          </cell>
          <cell r="J4561">
            <v>13</v>
          </cell>
          <cell r="L4561">
            <v>0</v>
          </cell>
        </row>
        <row r="4562">
          <cell r="B4562">
            <v>2019</v>
          </cell>
          <cell r="C4562">
            <v>17</v>
          </cell>
          <cell r="E4562" t="str">
            <v>ARI</v>
          </cell>
          <cell r="I4562">
            <v>24</v>
          </cell>
          <cell r="J4562">
            <v>31</v>
          </cell>
          <cell r="L4562">
            <v>0</v>
          </cell>
        </row>
        <row r="4563">
          <cell r="B4563">
            <v>2020</v>
          </cell>
          <cell r="C4563">
            <v>1</v>
          </cell>
          <cell r="E4563" t="str">
            <v>ARI</v>
          </cell>
          <cell r="I4563">
            <v>24</v>
          </cell>
          <cell r="J4563">
            <v>20</v>
          </cell>
          <cell r="L4563">
            <v>0</v>
          </cell>
        </row>
        <row r="4564">
          <cell r="B4564">
            <v>2020</v>
          </cell>
          <cell r="C4564">
            <v>2</v>
          </cell>
          <cell r="E4564" t="str">
            <v>ARI</v>
          </cell>
          <cell r="I4564">
            <v>30</v>
          </cell>
          <cell r="J4564">
            <v>15</v>
          </cell>
          <cell r="L4564">
            <v>0</v>
          </cell>
        </row>
        <row r="4565">
          <cell r="B4565">
            <v>2020</v>
          </cell>
          <cell r="C4565">
            <v>3</v>
          </cell>
          <cell r="E4565" t="str">
            <v>ARI</v>
          </cell>
          <cell r="I4565">
            <v>23</v>
          </cell>
          <cell r="J4565">
            <v>26</v>
          </cell>
          <cell r="L4565">
            <v>0</v>
          </cell>
        </row>
        <row r="4566">
          <cell r="B4566">
            <v>2020</v>
          </cell>
          <cell r="C4566">
            <v>4</v>
          </cell>
          <cell r="E4566" t="str">
            <v>ARI</v>
          </cell>
          <cell r="I4566">
            <v>21</v>
          </cell>
          <cell r="J4566">
            <v>31</v>
          </cell>
          <cell r="L4566">
            <v>0</v>
          </cell>
        </row>
        <row r="4567">
          <cell r="B4567">
            <v>2020</v>
          </cell>
          <cell r="C4567">
            <v>5</v>
          </cell>
          <cell r="E4567" t="str">
            <v>ARI</v>
          </cell>
          <cell r="I4567">
            <v>30</v>
          </cell>
          <cell r="J4567">
            <v>10</v>
          </cell>
          <cell r="L4567">
            <v>0</v>
          </cell>
        </row>
        <row r="4568">
          <cell r="B4568">
            <v>2020</v>
          </cell>
          <cell r="C4568">
            <v>6</v>
          </cell>
          <cell r="E4568" t="str">
            <v>ARI</v>
          </cell>
          <cell r="I4568">
            <v>38</v>
          </cell>
          <cell r="J4568">
            <v>10</v>
          </cell>
          <cell r="L4568">
            <v>0</v>
          </cell>
        </row>
        <row r="4569">
          <cell r="B4569">
            <v>2020</v>
          </cell>
          <cell r="C4569">
            <v>7</v>
          </cell>
          <cell r="E4569" t="str">
            <v>ARI</v>
          </cell>
          <cell r="I4569">
            <v>37</v>
          </cell>
          <cell r="J4569">
            <v>34</v>
          </cell>
          <cell r="L4569">
            <v>0</v>
          </cell>
        </row>
        <row r="4570">
          <cell r="B4570">
            <v>2020</v>
          </cell>
          <cell r="C4570">
            <v>9</v>
          </cell>
          <cell r="E4570" t="str">
            <v>ARI</v>
          </cell>
          <cell r="I4570">
            <v>31</v>
          </cell>
          <cell r="J4570">
            <v>34</v>
          </cell>
          <cell r="L4570">
            <v>0</v>
          </cell>
        </row>
        <row r="4571">
          <cell r="B4571">
            <v>2020</v>
          </cell>
          <cell r="C4571">
            <v>10</v>
          </cell>
          <cell r="E4571" t="str">
            <v>ARI</v>
          </cell>
          <cell r="I4571">
            <v>32</v>
          </cell>
          <cell r="J4571">
            <v>30</v>
          </cell>
          <cell r="L4571">
            <v>0</v>
          </cell>
        </row>
        <row r="4572">
          <cell r="B4572">
            <v>2020</v>
          </cell>
          <cell r="C4572">
            <v>11</v>
          </cell>
          <cell r="E4572" t="str">
            <v>ARI</v>
          </cell>
          <cell r="I4572">
            <v>21</v>
          </cell>
          <cell r="J4572">
            <v>28</v>
          </cell>
          <cell r="L4572">
            <v>0</v>
          </cell>
        </row>
        <row r="4573">
          <cell r="B4573">
            <v>2020</v>
          </cell>
          <cell r="C4573">
            <v>12</v>
          </cell>
          <cell r="E4573" t="str">
            <v>ARI</v>
          </cell>
          <cell r="I4573">
            <v>17</v>
          </cell>
          <cell r="J4573">
            <v>20</v>
          </cell>
          <cell r="L4573">
            <v>0</v>
          </cell>
        </row>
        <row r="4574">
          <cell r="B4574">
            <v>2020</v>
          </cell>
          <cell r="C4574">
            <v>13</v>
          </cell>
          <cell r="E4574" t="str">
            <v>ARI</v>
          </cell>
          <cell r="I4574">
            <v>28</v>
          </cell>
          <cell r="J4574">
            <v>38</v>
          </cell>
          <cell r="L4574">
            <v>0</v>
          </cell>
        </row>
        <row r="4575">
          <cell r="B4575">
            <v>2020</v>
          </cell>
          <cell r="C4575">
            <v>14</v>
          </cell>
          <cell r="E4575" t="str">
            <v>ARI</v>
          </cell>
          <cell r="I4575">
            <v>26</v>
          </cell>
          <cell r="J4575">
            <v>7</v>
          </cell>
          <cell r="L4575">
            <v>0</v>
          </cell>
        </row>
        <row r="4576">
          <cell r="B4576">
            <v>2020</v>
          </cell>
          <cell r="C4576">
            <v>15</v>
          </cell>
          <cell r="E4576" t="str">
            <v>ARI</v>
          </cell>
          <cell r="I4576">
            <v>33</v>
          </cell>
          <cell r="J4576">
            <v>26</v>
          </cell>
          <cell r="L4576">
            <v>0</v>
          </cell>
        </row>
        <row r="4577">
          <cell r="B4577">
            <v>2020</v>
          </cell>
          <cell r="C4577">
            <v>16</v>
          </cell>
          <cell r="E4577" t="str">
            <v>ARI</v>
          </cell>
          <cell r="I4577">
            <v>12</v>
          </cell>
          <cell r="J4577">
            <v>20</v>
          </cell>
          <cell r="L4577">
            <v>0</v>
          </cell>
        </row>
        <row r="4578">
          <cell r="B4578">
            <v>2020</v>
          </cell>
          <cell r="C4578">
            <v>17</v>
          </cell>
          <cell r="E4578" t="str">
            <v>ARI</v>
          </cell>
          <cell r="I4578">
            <v>7</v>
          </cell>
          <cell r="J4578">
            <v>18</v>
          </cell>
          <cell r="L4578">
            <v>0</v>
          </cell>
        </row>
        <row r="4579">
          <cell r="B4579">
            <v>2021</v>
          </cell>
          <cell r="C4579">
            <v>1</v>
          </cell>
          <cell r="E4579" t="str">
            <v>ARI</v>
          </cell>
          <cell r="I4579">
            <v>38</v>
          </cell>
          <cell r="J4579">
            <v>13</v>
          </cell>
          <cell r="L4579">
            <v>0</v>
          </cell>
        </row>
        <row r="4580">
          <cell r="B4580">
            <v>2021</v>
          </cell>
          <cell r="C4580">
            <v>2</v>
          </cell>
          <cell r="E4580" t="str">
            <v>ARI</v>
          </cell>
          <cell r="I4580">
            <v>34</v>
          </cell>
          <cell r="J4580">
            <v>33</v>
          </cell>
          <cell r="L4580">
            <v>0</v>
          </cell>
        </row>
        <row r="4581">
          <cell r="B4581">
            <v>2021</v>
          </cell>
          <cell r="C4581">
            <v>3</v>
          </cell>
          <cell r="E4581" t="str">
            <v>ARI</v>
          </cell>
          <cell r="I4581">
            <v>31</v>
          </cell>
          <cell r="J4581">
            <v>19</v>
          </cell>
          <cell r="L4581">
            <v>0</v>
          </cell>
        </row>
        <row r="4582">
          <cell r="B4582">
            <v>2021</v>
          </cell>
          <cell r="C4582">
            <v>4</v>
          </cell>
          <cell r="E4582" t="str">
            <v>ARI</v>
          </cell>
          <cell r="I4582">
            <v>37</v>
          </cell>
          <cell r="J4582">
            <v>20</v>
          </cell>
          <cell r="L4582">
            <v>0</v>
          </cell>
        </row>
        <row r="4583">
          <cell r="B4583">
            <v>2021</v>
          </cell>
          <cell r="C4583">
            <v>5</v>
          </cell>
          <cell r="E4583" t="str">
            <v>ARI</v>
          </cell>
          <cell r="I4583">
            <v>17</v>
          </cell>
          <cell r="J4583">
            <v>10</v>
          </cell>
          <cell r="L4583">
            <v>0</v>
          </cell>
        </row>
        <row r="4584">
          <cell r="B4584">
            <v>2021</v>
          </cell>
          <cell r="C4584">
            <v>6</v>
          </cell>
          <cell r="E4584" t="str">
            <v>ARI</v>
          </cell>
          <cell r="I4584">
            <v>37</v>
          </cell>
          <cell r="J4584">
            <v>14</v>
          </cell>
          <cell r="L4584">
            <v>0</v>
          </cell>
        </row>
        <row r="4585">
          <cell r="B4585">
            <v>2021</v>
          </cell>
          <cell r="C4585">
            <v>7</v>
          </cell>
          <cell r="E4585" t="str">
            <v>ARI</v>
          </cell>
          <cell r="I4585">
            <v>31</v>
          </cell>
          <cell r="J4585">
            <v>5</v>
          </cell>
          <cell r="L4585">
            <v>0</v>
          </cell>
        </row>
        <row r="4586">
          <cell r="B4586">
            <v>2021</v>
          </cell>
          <cell r="C4586">
            <v>8</v>
          </cell>
          <cell r="E4586" t="str">
            <v>ARI</v>
          </cell>
          <cell r="I4586">
            <v>21</v>
          </cell>
          <cell r="J4586">
            <v>24</v>
          </cell>
          <cell r="L4586">
            <v>0</v>
          </cell>
        </row>
        <row r="4587">
          <cell r="B4587">
            <v>2021</v>
          </cell>
          <cell r="C4587">
            <v>9</v>
          </cell>
          <cell r="E4587" t="str">
            <v>ARI</v>
          </cell>
          <cell r="I4587">
            <v>31</v>
          </cell>
          <cell r="J4587">
            <v>17</v>
          </cell>
          <cell r="L4587">
            <v>0</v>
          </cell>
        </row>
        <row r="4588">
          <cell r="B4588">
            <v>2021</v>
          </cell>
          <cell r="C4588">
            <v>10</v>
          </cell>
          <cell r="E4588" t="str">
            <v>ARI</v>
          </cell>
          <cell r="I4588">
            <v>10</v>
          </cell>
          <cell r="J4588">
            <v>34</v>
          </cell>
          <cell r="L4588">
            <v>0</v>
          </cell>
        </row>
        <row r="4589">
          <cell r="B4589">
            <v>2021</v>
          </cell>
          <cell r="C4589">
            <v>11</v>
          </cell>
          <cell r="E4589" t="str">
            <v>ARI</v>
          </cell>
          <cell r="I4589">
            <v>23</v>
          </cell>
          <cell r="J4589">
            <v>13</v>
          </cell>
          <cell r="L4589">
            <v>0</v>
          </cell>
        </row>
        <row r="4590">
          <cell r="B4590">
            <v>2021</v>
          </cell>
          <cell r="C4590">
            <v>13</v>
          </cell>
          <cell r="E4590" t="str">
            <v>ARI</v>
          </cell>
          <cell r="I4590">
            <v>33</v>
          </cell>
          <cell r="J4590">
            <v>22</v>
          </cell>
          <cell r="L4590">
            <v>0</v>
          </cell>
        </row>
        <row r="4591">
          <cell r="B4591">
            <v>2021</v>
          </cell>
          <cell r="C4591">
            <v>14</v>
          </cell>
          <cell r="E4591" t="str">
            <v>ARI</v>
          </cell>
          <cell r="I4591">
            <v>23</v>
          </cell>
          <cell r="J4591">
            <v>30</v>
          </cell>
          <cell r="L4591">
            <v>0</v>
          </cell>
        </row>
        <row r="4592">
          <cell r="B4592">
            <v>2021</v>
          </cell>
          <cell r="C4592">
            <v>15</v>
          </cell>
          <cell r="E4592" t="str">
            <v>ARI</v>
          </cell>
          <cell r="I4592">
            <v>12</v>
          </cell>
          <cell r="J4592">
            <v>30</v>
          </cell>
          <cell r="L4592">
            <v>0</v>
          </cell>
        </row>
        <row r="4593">
          <cell r="B4593">
            <v>2021</v>
          </cell>
          <cell r="C4593">
            <v>16</v>
          </cell>
          <cell r="E4593" t="str">
            <v>ARI</v>
          </cell>
          <cell r="I4593">
            <v>16</v>
          </cell>
          <cell r="J4593">
            <v>22</v>
          </cell>
          <cell r="L4593">
            <v>0</v>
          </cell>
        </row>
        <row r="4594">
          <cell r="B4594">
            <v>2021</v>
          </cell>
          <cell r="C4594">
            <v>17</v>
          </cell>
          <cell r="E4594" t="str">
            <v>ARI</v>
          </cell>
          <cell r="I4594">
            <v>25</v>
          </cell>
          <cell r="J4594">
            <v>22</v>
          </cell>
          <cell r="L4594">
            <v>0</v>
          </cell>
        </row>
        <row r="4595">
          <cell r="B4595">
            <v>2021</v>
          </cell>
          <cell r="C4595">
            <v>18</v>
          </cell>
          <cell r="E4595" t="str">
            <v>ARI</v>
          </cell>
          <cell r="I4595">
            <v>30</v>
          </cell>
          <cell r="J4595">
            <v>38</v>
          </cell>
          <cell r="L4595">
            <v>0</v>
          </cell>
        </row>
        <row r="4596">
          <cell r="B4596">
            <v>2021</v>
          </cell>
          <cell r="C4596">
            <v>1</v>
          </cell>
          <cell r="E4596" t="str">
            <v>ARI</v>
          </cell>
          <cell r="I4596">
            <v>11</v>
          </cell>
          <cell r="J4596">
            <v>34</v>
          </cell>
          <cell r="L4596">
            <v>1</v>
          </cell>
        </row>
        <row r="4597">
          <cell r="B4597">
            <v>2022</v>
          </cell>
          <cell r="C4597">
            <v>1</v>
          </cell>
          <cell r="E4597" t="str">
            <v>ARI</v>
          </cell>
          <cell r="I4597">
            <v>21</v>
          </cell>
          <cell r="J4597">
            <v>44</v>
          </cell>
          <cell r="L4597">
            <v>0</v>
          </cell>
        </row>
        <row r="4598">
          <cell r="B4598">
            <v>2022</v>
          </cell>
          <cell r="C4598">
            <v>2</v>
          </cell>
          <cell r="E4598" t="str">
            <v>ARI</v>
          </cell>
          <cell r="I4598">
            <v>29</v>
          </cell>
          <cell r="J4598">
            <v>23</v>
          </cell>
          <cell r="L4598">
            <v>0</v>
          </cell>
        </row>
        <row r="4599">
          <cell r="B4599">
            <v>2022</v>
          </cell>
          <cell r="C4599">
            <v>3</v>
          </cell>
          <cell r="E4599" t="str">
            <v>ARI</v>
          </cell>
          <cell r="I4599">
            <v>12</v>
          </cell>
          <cell r="J4599">
            <v>20</v>
          </cell>
          <cell r="L4599">
            <v>0</v>
          </cell>
        </row>
        <row r="4600">
          <cell r="B4600">
            <v>2022</v>
          </cell>
          <cell r="C4600">
            <v>4</v>
          </cell>
          <cell r="E4600" t="str">
            <v>ARI</v>
          </cell>
          <cell r="I4600">
            <v>26</v>
          </cell>
          <cell r="J4600">
            <v>16</v>
          </cell>
          <cell r="L4600">
            <v>0</v>
          </cell>
        </row>
        <row r="4601">
          <cell r="B4601">
            <v>2022</v>
          </cell>
          <cell r="C4601">
            <v>5</v>
          </cell>
          <cell r="E4601" t="str">
            <v>ARI</v>
          </cell>
          <cell r="I4601">
            <v>17</v>
          </cell>
          <cell r="J4601">
            <v>20</v>
          </cell>
          <cell r="L4601">
            <v>0</v>
          </cell>
        </row>
        <row r="4602">
          <cell r="B4602">
            <v>2022</v>
          </cell>
          <cell r="C4602">
            <v>6</v>
          </cell>
          <cell r="E4602" t="str">
            <v>ARI</v>
          </cell>
          <cell r="I4602">
            <v>9</v>
          </cell>
          <cell r="J4602">
            <v>19</v>
          </cell>
          <cell r="L4602">
            <v>0</v>
          </cell>
        </row>
        <row r="4603">
          <cell r="B4603">
            <v>2022</v>
          </cell>
          <cell r="C4603">
            <v>7</v>
          </cell>
          <cell r="E4603" t="str">
            <v>ARI</v>
          </cell>
          <cell r="I4603">
            <v>42</v>
          </cell>
          <cell r="J4603">
            <v>34</v>
          </cell>
          <cell r="L4603">
            <v>0</v>
          </cell>
        </row>
        <row r="4604">
          <cell r="B4604">
            <v>2022</v>
          </cell>
          <cell r="C4604">
            <v>8</v>
          </cell>
          <cell r="E4604" t="str">
            <v>ARI</v>
          </cell>
          <cell r="I4604">
            <v>26</v>
          </cell>
          <cell r="J4604">
            <v>34</v>
          </cell>
          <cell r="L4604">
            <v>0</v>
          </cell>
        </row>
        <row r="4605">
          <cell r="B4605">
            <v>2022</v>
          </cell>
          <cell r="C4605">
            <v>9</v>
          </cell>
          <cell r="E4605" t="str">
            <v>ARI</v>
          </cell>
          <cell r="I4605">
            <v>21</v>
          </cell>
          <cell r="J4605">
            <v>31</v>
          </cell>
          <cell r="L4605">
            <v>0</v>
          </cell>
        </row>
        <row r="4606">
          <cell r="B4606">
            <v>2022</v>
          </cell>
          <cell r="C4606">
            <v>10</v>
          </cell>
          <cell r="E4606" t="str">
            <v>ARI</v>
          </cell>
          <cell r="I4606">
            <v>27</v>
          </cell>
          <cell r="J4606">
            <v>17</v>
          </cell>
          <cell r="L4606">
            <v>0</v>
          </cell>
        </row>
        <row r="4607">
          <cell r="B4607">
            <v>2022</v>
          </cell>
          <cell r="C4607">
            <v>11</v>
          </cell>
          <cell r="E4607" t="str">
            <v>ARI</v>
          </cell>
          <cell r="I4607">
            <v>10</v>
          </cell>
          <cell r="J4607">
            <v>38</v>
          </cell>
          <cell r="L4607">
            <v>0</v>
          </cell>
        </row>
        <row r="4608">
          <cell r="B4608">
            <v>2022</v>
          </cell>
          <cell r="C4608">
            <v>12</v>
          </cell>
          <cell r="E4608" t="str">
            <v>ARI</v>
          </cell>
          <cell r="I4608">
            <v>24</v>
          </cell>
          <cell r="J4608">
            <v>25</v>
          </cell>
          <cell r="L4608">
            <v>0</v>
          </cell>
        </row>
        <row r="4609">
          <cell r="B4609">
            <v>2022</v>
          </cell>
          <cell r="C4609">
            <v>14</v>
          </cell>
          <cell r="E4609" t="str">
            <v>ARI</v>
          </cell>
          <cell r="I4609">
            <v>13</v>
          </cell>
          <cell r="J4609">
            <v>27</v>
          </cell>
          <cell r="L4609">
            <v>0</v>
          </cell>
        </row>
        <row r="4610">
          <cell r="B4610">
            <v>2022</v>
          </cell>
          <cell r="C4610">
            <v>15</v>
          </cell>
          <cell r="E4610" t="str">
            <v>ARI</v>
          </cell>
          <cell r="I4610">
            <v>15</v>
          </cell>
          <cell r="J4610">
            <v>24</v>
          </cell>
          <cell r="L4610">
            <v>0</v>
          </cell>
        </row>
        <row r="4611">
          <cell r="B4611">
            <v>2022</v>
          </cell>
          <cell r="C4611">
            <v>16</v>
          </cell>
          <cell r="E4611" t="str">
            <v>ARI</v>
          </cell>
          <cell r="I4611">
            <v>16</v>
          </cell>
          <cell r="J4611">
            <v>19</v>
          </cell>
          <cell r="L4611">
            <v>0</v>
          </cell>
        </row>
        <row r="4612">
          <cell r="B4612">
            <v>2022</v>
          </cell>
          <cell r="C4612">
            <v>17</v>
          </cell>
          <cell r="E4612" t="str">
            <v>ARI</v>
          </cell>
          <cell r="I4612">
            <v>19</v>
          </cell>
          <cell r="J4612">
            <v>20</v>
          </cell>
          <cell r="L4612">
            <v>0</v>
          </cell>
        </row>
        <row r="4613">
          <cell r="B4613">
            <v>2022</v>
          </cell>
          <cell r="C4613">
            <v>18</v>
          </cell>
          <cell r="E4613" t="str">
            <v>ARI</v>
          </cell>
          <cell r="I4613">
            <v>13</v>
          </cell>
          <cell r="J4613">
            <v>38</v>
          </cell>
          <cell r="L4613">
            <v>0</v>
          </cell>
        </row>
        <row r="4614">
          <cell r="B4614">
            <v>2023</v>
          </cell>
          <cell r="C4614">
            <v>1</v>
          </cell>
          <cell r="E4614" t="str">
            <v>ARI</v>
          </cell>
          <cell r="I4614">
            <v>16</v>
          </cell>
          <cell r="J4614">
            <v>20</v>
          </cell>
          <cell r="L4614">
            <v>0</v>
          </cell>
        </row>
        <row r="4615">
          <cell r="B4615">
            <v>2023</v>
          </cell>
          <cell r="C4615">
            <v>2</v>
          </cell>
          <cell r="E4615" t="str">
            <v>ARI</v>
          </cell>
          <cell r="I4615">
            <v>28</v>
          </cell>
          <cell r="J4615">
            <v>31</v>
          </cell>
          <cell r="L4615">
            <v>0</v>
          </cell>
        </row>
        <row r="4616">
          <cell r="B4616">
            <v>2023</v>
          </cell>
          <cell r="C4616">
            <v>3</v>
          </cell>
          <cell r="E4616" t="str">
            <v>ARI</v>
          </cell>
          <cell r="I4616">
            <v>28</v>
          </cell>
          <cell r="J4616">
            <v>16</v>
          </cell>
          <cell r="L4616">
            <v>0</v>
          </cell>
        </row>
        <row r="4617">
          <cell r="B4617">
            <v>2023</v>
          </cell>
          <cell r="C4617">
            <v>4</v>
          </cell>
          <cell r="E4617" t="str">
            <v>ARI</v>
          </cell>
          <cell r="I4617">
            <v>16</v>
          </cell>
          <cell r="J4617">
            <v>35</v>
          </cell>
          <cell r="L4617">
            <v>0</v>
          </cell>
        </row>
        <row r="4618">
          <cell r="B4618">
            <v>2023</v>
          </cell>
          <cell r="C4618">
            <v>5</v>
          </cell>
          <cell r="E4618" t="str">
            <v>ARI</v>
          </cell>
          <cell r="I4618">
            <v>20</v>
          </cell>
          <cell r="J4618">
            <v>34</v>
          </cell>
          <cell r="L4618">
            <v>0</v>
          </cell>
        </row>
        <row r="4619">
          <cell r="B4619">
            <v>2023</v>
          </cell>
          <cell r="C4619">
            <v>6</v>
          </cell>
          <cell r="E4619" t="str">
            <v>ARI</v>
          </cell>
          <cell r="I4619">
            <v>9</v>
          </cell>
          <cell r="J4619">
            <v>26</v>
          </cell>
          <cell r="L4619">
            <v>0</v>
          </cell>
        </row>
        <row r="4620">
          <cell r="B4620">
            <v>2023</v>
          </cell>
          <cell r="C4620">
            <v>7</v>
          </cell>
          <cell r="E4620" t="str">
            <v>ARI</v>
          </cell>
          <cell r="I4620">
            <v>10</v>
          </cell>
          <cell r="J4620">
            <v>20</v>
          </cell>
          <cell r="L4620">
            <v>0</v>
          </cell>
        </row>
        <row r="4621">
          <cell r="B4621">
            <v>2023</v>
          </cell>
          <cell r="C4621">
            <v>8</v>
          </cell>
          <cell r="E4621" t="str">
            <v>ARI</v>
          </cell>
          <cell r="I4621">
            <v>24</v>
          </cell>
          <cell r="J4621">
            <v>31</v>
          </cell>
          <cell r="L4621">
            <v>0</v>
          </cell>
        </row>
        <row r="4622">
          <cell r="B4622">
            <v>2023</v>
          </cell>
          <cell r="C4622">
            <v>9</v>
          </cell>
          <cell r="E4622" t="str">
            <v>ARI</v>
          </cell>
          <cell r="I4622">
            <v>0</v>
          </cell>
          <cell r="J4622">
            <v>27</v>
          </cell>
          <cell r="L4622">
            <v>0</v>
          </cell>
        </row>
        <row r="4623">
          <cell r="B4623">
            <v>2023</v>
          </cell>
          <cell r="C4623">
            <v>10</v>
          </cell>
          <cell r="E4623" t="str">
            <v>ARI</v>
          </cell>
          <cell r="I4623">
            <v>25</v>
          </cell>
          <cell r="J4623">
            <v>23</v>
          </cell>
          <cell r="L4623">
            <v>0</v>
          </cell>
        </row>
        <row r="4624">
          <cell r="B4624">
            <v>2023</v>
          </cell>
          <cell r="C4624">
            <v>11</v>
          </cell>
          <cell r="E4624" t="str">
            <v>ARI</v>
          </cell>
          <cell r="I4624">
            <v>16</v>
          </cell>
          <cell r="J4624">
            <v>21</v>
          </cell>
          <cell r="L4624">
            <v>0</v>
          </cell>
        </row>
        <row r="4625">
          <cell r="B4625">
            <v>2023</v>
          </cell>
          <cell r="C4625">
            <v>12</v>
          </cell>
          <cell r="E4625" t="str">
            <v>ARI</v>
          </cell>
          <cell r="I4625">
            <v>14</v>
          </cell>
          <cell r="J4625">
            <v>37</v>
          </cell>
          <cell r="L4625">
            <v>0</v>
          </cell>
        </row>
        <row r="4626">
          <cell r="B4626">
            <v>2023</v>
          </cell>
          <cell r="C4626">
            <v>13</v>
          </cell>
          <cell r="E4626" t="str">
            <v>ARI</v>
          </cell>
          <cell r="I4626">
            <v>24</v>
          </cell>
          <cell r="J4626">
            <v>10</v>
          </cell>
          <cell r="L4626">
            <v>0</v>
          </cell>
        </row>
        <row r="4627">
          <cell r="B4627">
            <v>2023</v>
          </cell>
          <cell r="C4627">
            <v>15</v>
          </cell>
          <cell r="E4627" t="str">
            <v>ARI</v>
          </cell>
          <cell r="I4627">
            <v>29</v>
          </cell>
          <cell r="J4627">
            <v>45</v>
          </cell>
          <cell r="L4627">
            <v>0</v>
          </cell>
        </row>
        <row r="4628">
          <cell r="B4628">
            <v>2023</v>
          </cell>
          <cell r="C4628">
            <v>16</v>
          </cell>
          <cell r="E4628" t="str">
            <v>ARI</v>
          </cell>
          <cell r="I4628">
            <v>16</v>
          </cell>
          <cell r="J4628">
            <v>27</v>
          </cell>
          <cell r="L4628">
            <v>0</v>
          </cell>
        </row>
        <row r="4629">
          <cell r="B4629">
            <v>2023</v>
          </cell>
          <cell r="C4629">
            <v>17</v>
          </cell>
          <cell r="E4629" t="str">
            <v>ARI</v>
          </cell>
          <cell r="I4629">
            <v>35</v>
          </cell>
          <cell r="J4629">
            <v>31</v>
          </cell>
          <cell r="L4629">
            <v>0</v>
          </cell>
        </row>
        <row r="4630">
          <cell r="B4630">
            <v>2023</v>
          </cell>
          <cell r="C4630">
            <v>18</v>
          </cell>
          <cell r="E4630" t="str">
            <v>ARI</v>
          </cell>
          <cell r="I4630">
            <v>20</v>
          </cell>
          <cell r="J4630">
            <v>21</v>
          </cell>
          <cell r="L4630">
            <v>0</v>
          </cell>
        </row>
        <row r="4631">
          <cell r="B4631">
            <v>2024</v>
          </cell>
          <cell r="C4631">
            <v>1</v>
          </cell>
          <cell r="E4631" t="str">
            <v>ARI</v>
          </cell>
          <cell r="I4631">
            <v>28</v>
          </cell>
          <cell r="J4631">
            <v>34</v>
          </cell>
          <cell r="L4631">
            <v>0</v>
          </cell>
        </row>
        <row r="4632">
          <cell r="B4632">
            <v>2024</v>
          </cell>
          <cell r="C4632">
            <v>2</v>
          </cell>
          <cell r="E4632" t="str">
            <v>ARI</v>
          </cell>
          <cell r="I4632">
            <v>41</v>
          </cell>
          <cell r="J4632">
            <v>10</v>
          </cell>
          <cell r="L4632">
            <v>0</v>
          </cell>
        </row>
        <row r="4633">
          <cell r="B4633">
            <v>2024</v>
          </cell>
          <cell r="C4633">
            <v>3</v>
          </cell>
          <cell r="E4633" t="str">
            <v>ARI</v>
          </cell>
          <cell r="I4633">
            <v>13</v>
          </cell>
          <cell r="J4633">
            <v>20</v>
          </cell>
          <cell r="L4633">
            <v>0</v>
          </cell>
        </row>
        <row r="4634">
          <cell r="B4634">
            <v>2024</v>
          </cell>
          <cell r="C4634">
            <v>4</v>
          </cell>
          <cell r="E4634" t="str">
            <v>ARI</v>
          </cell>
          <cell r="I4634">
            <v>14</v>
          </cell>
          <cell r="J4634">
            <v>42</v>
          </cell>
          <cell r="L4634">
            <v>0</v>
          </cell>
        </row>
        <row r="4635">
          <cell r="B4635">
            <v>2024</v>
          </cell>
          <cell r="C4635">
            <v>5</v>
          </cell>
          <cell r="E4635" t="str">
            <v>ARI</v>
          </cell>
          <cell r="I4635">
            <v>24</v>
          </cell>
          <cell r="J4635">
            <v>23</v>
          </cell>
          <cell r="L4635">
            <v>0</v>
          </cell>
        </row>
        <row r="4636">
          <cell r="B4636">
            <v>2024</v>
          </cell>
          <cell r="C4636">
            <v>6</v>
          </cell>
          <cell r="E4636" t="str">
            <v>ARI</v>
          </cell>
          <cell r="I4636">
            <v>13</v>
          </cell>
          <cell r="J4636">
            <v>34</v>
          </cell>
          <cell r="L4636">
            <v>0</v>
          </cell>
        </row>
        <row r="4637">
          <cell r="B4637">
            <v>2024</v>
          </cell>
          <cell r="C4637">
            <v>7</v>
          </cell>
          <cell r="E4637" t="str">
            <v>ARI</v>
          </cell>
          <cell r="I4637">
            <v>17</v>
          </cell>
          <cell r="J4637">
            <v>15</v>
          </cell>
          <cell r="L4637">
            <v>0</v>
          </cell>
        </row>
        <row r="4638">
          <cell r="B4638">
            <v>2024</v>
          </cell>
          <cell r="C4638">
            <v>8</v>
          </cell>
          <cell r="E4638" t="str">
            <v>ARI</v>
          </cell>
          <cell r="I4638">
            <v>28</v>
          </cell>
          <cell r="J4638">
            <v>27</v>
          </cell>
          <cell r="L4638">
            <v>0</v>
          </cell>
        </row>
        <row r="4639">
          <cell r="B4639">
            <v>2024</v>
          </cell>
          <cell r="C4639">
            <v>9</v>
          </cell>
          <cell r="E4639" t="str">
            <v>ARI</v>
          </cell>
          <cell r="I4639">
            <v>29</v>
          </cell>
          <cell r="J4639">
            <v>9</v>
          </cell>
          <cell r="L4639">
            <v>0</v>
          </cell>
        </row>
        <row r="4640">
          <cell r="B4640">
            <v>2024</v>
          </cell>
          <cell r="C4640">
            <v>10</v>
          </cell>
          <cell r="E4640" t="str">
            <v>ARI</v>
          </cell>
          <cell r="I4640">
            <v>31</v>
          </cell>
          <cell r="J4640">
            <v>6</v>
          </cell>
          <cell r="L4640">
            <v>0</v>
          </cell>
        </row>
        <row r="4641">
          <cell r="B4641">
            <v>2024</v>
          </cell>
          <cell r="C4641">
            <v>12</v>
          </cell>
          <cell r="E4641" t="str">
            <v>ARI</v>
          </cell>
          <cell r="I4641">
            <v>6</v>
          </cell>
          <cell r="J4641">
            <v>16</v>
          </cell>
          <cell r="L4641">
            <v>0</v>
          </cell>
        </row>
        <row r="4642">
          <cell r="B4642">
            <v>2024</v>
          </cell>
          <cell r="C4642">
            <v>13</v>
          </cell>
          <cell r="E4642" t="str">
            <v>ARI</v>
          </cell>
          <cell r="I4642">
            <v>22</v>
          </cell>
          <cell r="J4642">
            <v>23</v>
          </cell>
          <cell r="L4642">
            <v>0</v>
          </cell>
        </row>
        <row r="4643">
          <cell r="B4643">
            <v>2024</v>
          </cell>
          <cell r="C4643">
            <v>14</v>
          </cell>
          <cell r="E4643" t="str">
            <v>ARI</v>
          </cell>
          <cell r="I4643">
            <v>18</v>
          </cell>
          <cell r="J4643">
            <v>30</v>
          </cell>
          <cell r="L4643">
            <v>0</v>
          </cell>
        </row>
        <row r="4644">
          <cell r="B4644">
            <v>2024</v>
          </cell>
          <cell r="C4644">
            <v>15</v>
          </cell>
          <cell r="E4644" t="str">
            <v>ARI</v>
          </cell>
          <cell r="I4644">
            <v>30</v>
          </cell>
          <cell r="J4644">
            <v>17</v>
          </cell>
          <cell r="L4644">
            <v>0</v>
          </cell>
        </row>
        <row r="4645">
          <cell r="B4645">
            <v>2024</v>
          </cell>
          <cell r="C4645">
            <v>16</v>
          </cell>
          <cell r="E4645" t="str">
            <v>ARI</v>
          </cell>
          <cell r="I4645">
            <v>30</v>
          </cell>
          <cell r="J4645">
            <v>36</v>
          </cell>
          <cell r="L4645">
            <v>0</v>
          </cell>
        </row>
        <row r="4646">
          <cell r="B4646">
            <v>2024</v>
          </cell>
          <cell r="C4646">
            <v>17</v>
          </cell>
          <cell r="E4646" t="str">
            <v>ARI</v>
          </cell>
          <cell r="I4646">
            <v>9</v>
          </cell>
          <cell r="J4646">
            <v>13</v>
          </cell>
          <cell r="L4646">
            <v>0</v>
          </cell>
        </row>
        <row r="4647">
          <cell r="B4647">
            <v>2024</v>
          </cell>
          <cell r="C4647">
            <v>18</v>
          </cell>
          <cell r="E4647" t="str">
            <v>ARI</v>
          </cell>
          <cell r="I4647">
            <v>47</v>
          </cell>
          <cell r="J4647">
            <v>24</v>
          </cell>
          <cell r="L4647">
            <v>0</v>
          </cell>
        </row>
        <row r="4648">
          <cell r="B4648">
            <v>2025</v>
          </cell>
          <cell r="C4648">
            <v>1</v>
          </cell>
          <cell r="E4648" t="str">
            <v>ARI</v>
          </cell>
          <cell r="I4648">
            <v>20</v>
          </cell>
          <cell r="J4648">
            <v>13</v>
          </cell>
          <cell r="L4648">
            <v>0</v>
          </cell>
        </row>
        <row r="4649">
          <cell r="B4649">
            <v>2025</v>
          </cell>
          <cell r="C4649">
            <v>2</v>
          </cell>
          <cell r="E4649" t="str">
            <v>ARI</v>
          </cell>
          <cell r="I4649">
            <v>27</v>
          </cell>
          <cell r="J4649">
            <v>22</v>
          </cell>
          <cell r="L4649">
            <v>0</v>
          </cell>
        </row>
        <row r="4650">
          <cell r="B4650">
            <v>2025</v>
          </cell>
          <cell r="C4650">
            <v>3</v>
          </cell>
          <cell r="E4650" t="str">
            <v>ARI</v>
          </cell>
          <cell r="I4650">
            <v>15</v>
          </cell>
          <cell r="J4650">
            <v>16</v>
          </cell>
          <cell r="L4650">
            <v>0</v>
          </cell>
        </row>
        <row r="4651">
          <cell r="B4651">
            <v>2025</v>
          </cell>
          <cell r="C4651">
            <v>4</v>
          </cell>
          <cell r="E4651" t="str">
            <v>ARI</v>
          </cell>
          <cell r="I4651">
            <v>20</v>
          </cell>
          <cell r="J4651">
            <v>23</v>
          </cell>
          <cell r="L4651">
            <v>0</v>
          </cell>
        </row>
        <row r="4652">
          <cell r="B4652">
            <v>2025</v>
          </cell>
          <cell r="C4652">
            <v>5</v>
          </cell>
          <cell r="E4652" t="str">
            <v>ARI</v>
          </cell>
          <cell r="I4652">
            <v>21</v>
          </cell>
          <cell r="J4652">
            <v>22</v>
          </cell>
          <cell r="L4652">
            <v>0</v>
          </cell>
        </row>
        <row r="4653">
          <cell r="B4653">
            <v>2025</v>
          </cell>
          <cell r="C4653">
            <v>6</v>
          </cell>
          <cell r="E4653" t="str">
            <v>ARI</v>
          </cell>
          <cell r="I4653">
            <v>27</v>
          </cell>
          <cell r="J4653">
            <v>31</v>
          </cell>
          <cell r="L4653">
            <v>0</v>
          </cell>
        </row>
        <row r="4654">
          <cell r="B4654">
            <v>2025</v>
          </cell>
          <cell r="C4654">
            <v>7</v>
          </cell>
          <cell r="E4654" t="str">
            <v>ARI</v>
          </cell>
          <cell r="I4654">
            <v>23</v>
          </cell>
          <cell r="J4654">
            <v>27</v>
          </cell>
          <cell r="L4654">
            <v>0</v>
          </cell>
        </row>
        <row r="4655">
          <cell r="B4655">
            <v>2025</v>
          </cell>
          <cell r="C4655">
            <v>9</v>
          </cell>
          <cell r="E4655" t="str">
            <v>ARI</v>
          </cell>
          <cell r="I4655">
            <v>27</v>
          </cell>
          <cell r="J4655">
            <v>17</v>
          </cell>
          <cell r="L4655">
            <v>0</v>
          </cell>
        </row>
        <row r="4656">
          <cell r="B4656">
            <v>2025</v>
          </cell>
          <cell r="C4656">
            <v>10</v>
          </cell>
          <cell r="E4656" t="str">
            <v>ARI</v>
          </cell>
          <cell r="I4656">
            <v>22</v>
          </cell>
          <cell r="J4656">
            <v>44</v>
          </cell>
          <cell r="L4656">
            <v>0</v>
          </cell>
        </row>
        <row r="4657">
          <cell r="B4657">
            <v>2025</v>
          </cell>
          <cell r="C4657">
            <v>11</v>
          </cell>
          <cell r="E4657" t="str">
            <v>ARI</v>
          </cell>
          <cell r="I4657">
            <v>22</v>
          </cell>
          <cell r="J4657">
            <v>41</v>
          </cell>
          <cell r="L4657">
            <v>0</v>
          </cell>
        </row>
        <row r="4658">
          <cell r="B4658">
            <v>2025</v>
          </cell>
          <cell r="C4658">
            <v>12</v>
          </cell>
          <cell r="E4658" t="str">
            <v>ARI</v>
          </cell>
          <cell r="I4658">
            <v>24</v>
          </cell>
          <cell r="J4658">
            <v>27</v>
          </cell>
          <cell r="L4658">
            <v>0</v>
          </cell>
        </row>
        <row r="4659">
          <cell r="B4659">
            <v>2025</v>
          </cell>
          <cell r="C4659">
            <v>13</v>
          </cell>
          <cell r="E4659" t="str">
            <v>ARI</v>
          </cell>
          <cell r="I4659">
            <v>17</v>
          </cell>
          <cell r="J4659">
            <v>20</v>
          </cell>
          <cell r="L4659">
            <v>0</v>
          </cell>
        </row>
        <row r="4660">
          <cell r="B4660">
            <v>2025</v>
          </cell>
          <cell r="C4660">
            <v>14</v>
          </cell>
          <cell r="E4660" t="str">
            <v>ARI</v>
          </cell>
          <cell r="I4660">
            <v>17</v>
          </cell>
          <cell r="J4660">
            <v>45</v>
          </cell>
          <cell r="L4660">
            <v>0</v>
          </cell>
        </row>
        <row r="4661">
          <cell r="B4661">
            <v>2025</v>
          </cell>
          <cell r="C4661">
            <v>15</v>
          </cell>
          <cell r="E4661" t="str">
            <v>ARI</v>
          </cell>
          <cell r="I4661">
            <v>20</v>
          </cell>
          <cell r="J4661">
            <v>40</v>
          </cell>
          <cell r="L4661">
            <v>0</v>
          </cell>
        </row>
        <row r="4662">
          <cell r="B4662">
            <v>2025</v>
          </cell>
          <cell r="C4662">
            <v>16</v>
          </cell>
          <cell r="E4662" t="str">
            <v>ARI</v>
          </cell>
          <cell r="I4662">
            <v>19</v>
          </cell>
          <cell r="J4662">
            <v>26</v>
          </cell>
          <cell r="L4662">
            <v>0</v>
          </cell>
        </row>
        <row r="4663">
          <cell r="B4663">
            <v>2025</v>
          </cell>
          <cell r="C4663">
            <v>17</v>
          </cell>
          <cell r="E4663" t="str">
            <v>ARI</v>
          </cell>
          <cell r="I4663">
            <v>14</v>
          </cell>
          <cell r="J4663">
            <v>37</v>
          </cell>
          <cell r="L4663">
            <v>0</v>
          </cell>
        </row>
        <row r="4664">
          <cell r="B4664">
            <v>2025</v>
          </cell>
          <cell r="C4664">
            <v>18</v>
          </cell>
          <cell r="E4664" t="str">
            <v>ARI</v>
          </cell>
          <cell r="I4664">
            <v>20</v>
          </cell>
          <cell r="J4664">
            <v>37</v>
          </cell>
          <cell r="L4664">
            <v>0</v>
          </cell>
        </row>
        <row r="4665">
          <cell r="B4665">
            <v>2026</v>
          </cell>
          <cell r="C4665">
            <v>1</v>
          </cell>
          <cell r="E4665" t="str">
            <v>ARI</v>
          </cell>
          <cell r="I4665">
            <v>26</v>
          </cell>
          <cell r="J4665">
            <v>14</v>
          </cell>
          <cell r="L4665">
            <v>0</v>
          </cell>
        </row>
        <row r="4666">
          <cell r="B4666">
            <v>2026</v>
          </cell>
          <cell r="C4666">
            <v>2</v>
          </cell>
          <cell r="E4666" t="str">
            <v>ARI</v>
          </cell>
          <cell r="I4666">
            <v>7</v>
          </cell>
          <cell r="J4666">
            <v>31</v>
          </cell>
          <cell r="L4666">
            <v>0</v>
          </cell>
        </row>
        <row r="4667">
          <cell r="B4667">
            <v>2026</v>
          </cell>
          <cell r="C4667">
            <v>3</v>
          </cell>
          <cell r="E4667" t="str">
            <v>ARI</v>
          </cell>
          <cell r="I4667">
            <v>30</v>
          </cell>
          <cell r="J4667">
            <v>36</v>
          </cell>
          <cell r="L4667">
            <v>0</v>
          </cell>
        </row>
        <row r="4668">
          <cell r="B4668">
            <v>2026</v>
          </cell>
          <cell r="C4668">
            <v>4</v>
          </cell>
          <cell r="E4668" t="str">
            <v>ARI</v>
          </cell>
          <cell r="I4668">
            <v>24</v>
          </cell>
          <cell r="J4668">
            <v>36</v>
          </cell>
          <cell r="L4668">
            <v>0</v>
          </cell>
        </row>
        <row r="4669">
          <cell r="B4669">
            <v>2026</v>
          </cell>
          <cell r="C4669">
            <v>5</v>
          </cell>
          <cell r="E4669" t="str">
            <v>ARI</v>
          </cell>
          <cell r="I4669">
            <v>21</v>
          </cell>
          <cell r="J4669">
            <v>45</v>
          </cell>
          <cell r="L4669">
            <v>0</v>
          </cell>
        </row>
        <row r="4670">
          <cell r="B4670">
            <v>2026</v>
          </cell>
          <cell r="C4670">
            <v>6</v>
          </cell>
          <cell r="E4670" t="str">
            <v>ARI</v>
          </cell>
          <cell r="I4670">
            <v>18</v>
          </cell>
          <cell r="J4670">
            <v>16</v>
          </cell>
          <cell r="L4670">
            <v>0</v>
          </cell>
        </row>
        <row r="4671">
          <cell r="B4671">
            <v>2026</v>
          </cell>
          <cell r="C4671">
            <v>7</v>
          </cell>
          <cell r="E4671" t="str">
            <v>ARI</v>
          </cell>
          <cell r="L467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734EA-909D-4951-93FD-E19C6016B24E}">
  <dimension ref="A1:Y95"/>
  <sheetViews>
    <sheetView tabSelected="1" workbookViewId="0">
      <pane ySplit="3" topLeftCell="A4" activePane="bottomLeft" state="frozen"/>
      <selection pane="bottomLeft" activeCell="V1" sqref="V1"/>
    </sheetView>
  </sheetViews>
  <sheetFormatPr defaultRowHeight="14.5" x14ac:dyDescent="0.35"/>
  <cols>
    <col min="1" max="1" width="10.26953125" bestFit="1" customWidth="1"/>
    <col min="3" max="3" width="9.08984375" bestFit="1" customWidth="1"/>
    <col min="4" max="4" width="6.7265625" bestFit="1" customWidth="1"/>
    <col min="5" max="5" width="10.26953125" bestFit="1" customWidth="1"/>
    <col min="6" max="6" width="5.36328125" bestFit="1" customWidth="1"/>
    <col min="7" max="7" width="5.6328125" bestFit="1" customWidth="1"/>
    <col min="8" max="8" width="5" bestFit="1" customWidth="1"/>
    <col min="9" max="9" width="9.08984375" bestFit="1" customWidth="1"/>
    <col min="10" max="10" width="10.54296875" bestFit="1" customWidth="1"/>
    <col min="11" max="11" width="10.7265625" bestFit="1" customWidth="1"/>
    <col min="12" max="12" width="10.81640625" bestFit="1" customWidth="1"/>
    <col min="13" max="13" width="10.6328125" bestFit="1" customWidth="1"/>
    <col min="14" max="14" width="10" bestFit="1" customWidth="1"/>
    <col min="15" max="15" width="10.26953125" bestFit="1" customWidth="1"/>
    <col min="16" max="16" width="11.7265625" bestFit="1" customWidth="1"/>
    <col min="17" max="17" width="15" bestFit="1" customWidth="1"/>
    <col min="18" max="18" width="14.36328125" bestFit="1" customWidth="1"/>
    <col min="19" max="19" width="13.81640625" bestFit="1" customWidth="1"/>
  </cols>
  <sheetData>
    <row r="1" spans="1:25" x14ac:dyDescent="0.35">
      <c r="G1">
        <v>0</v>
      </c>
      <c r="H1">
        <v>1</v>
      </c>
      <c r="I1">
        <v>2</v>
      </c>
      <c r="J1">
        <v>4</v>
      </c>
      <c r="K1">
        <v>5</v>
      </c>
      <c r="L1">
        <v>6</v>
      </c>
      <c r="V1" s="3" t="s">
        <v>22</v>
      </c>
      <c r="W1" s="4"/>
      <c r="X1" s="5"/>
      <c r="Y1" s="5"/>
    </row>
    <row r="2" spans="1:25" x14ac:dyDescent="0.35">
      <c r="A2" t="s">
        <v>11</v>
      </c>
      <c r="B2" t="s">
        <v>9</v>
      </c>
      <c r="C2" t="s">
        <v>8</v>
      </c>
      <c r="D2" s="1" t="s">
        <v>7</v>
      </c>
      <c r="E2" s="1" t="s">
        <v>6</v>
      </c>
      <c r="F2" s="1" t="s">
        <v>0</v>
      </c>
      <c r="G2" t="s">
        <v>1</v>
      </c>
      <c r="H2" t="s">
        <v>2</v>
      </c>
      <c r="I2" t="s">
        <v>3</v>
      </c>
      <c r="J2" t="s">
        <v>4</v>
      </c>
      <c r="K2" t="s">
        <v>10</v>
      </c>
      <c r="L2" t="s">
        <v>5</v>
      </c>
      <c r="M2" t="s">
        <v>12</v>
      </c>
      <c r="N2" t="s">
        <v>13</v>
      </c>
      <c r="O2" t="s">
        <v>14</v>
      </c>
      <c r="P2" t="s">
        <v>17</v>
      </c>
      <c r="Q2" t="s">
        <v>15</v>
      </c>
      <c r="R2" t="s">
        <v>16</v>
      </c>
      <c r="S2" t="s">
        <v>18</v>
      </c>
      <c r="V2" s="2" t="s">
        <v>19</v>
      </c>
      <c r="W2" s="2" t="s">
        <v>21</v>
      </c>
      <c r="X2" s="2" t="s">
        <v>20</v>
      </c>
      <c r="Y2" s="7" t="s">
        <v>23</v>
      </c>
    </row>
    <row r="3" spans="1:25" x14ac:dyDescent="0.35">
      <c r="A3">
        <f ca="1">COUNTA(INDIRECT("'G:\My Drive\nfl-model-site\data\[nfl_predict_outcome"&amp;$C3&amp;".csv]nfl_predict_outcome"&amp;$C3&amp;"'!A:A"))-1</f>
        <v>16</v>
      </c>
      <c r="B3">
        <f>IF(C3&lt;&gt;C2,0,B2+1)</f>
        <v>0</v>
      </c>
      <c r="C3" t="str">
        <f>D3&amp;"w"&amp;F3&amp;"p"&amp;E3</f>
        <v>2026w1p0</v>
      </c>
      <c r="D3">
        <v>2026</v>
      </c>
      <c r="E3">
        <v>0</v>
      </c>
      <c r="F3">
        <v>1</v>
      </c>
      <c r="G3" t="str" cm="1">
        <f t="array" aca="1" ref="G3" ca="1">OFFSET(INDIRECT("'G:\My Drive\nfl-model-site\data\[nfl_predict_outcome"&amp;$C3&amp;".csv]nfl_predict_outcome"&amp;$C3&amp;"'!A2"),$B3,G$1)</f>
        <v>PIT</v>
      </c>
      <c r="H3" t="str" cm="1">
        <f t="array" aca="1" ref="H3" ca="1">OFFSET(INDIRECT("'G:\My Drive\nfl-model-site\data\[nfl_predict_outcome"&amp;$C3&amp;".csv]nfl_predict_outcome"&amp;$C3&amp;"'!A2"),$B3,H$1)</f>
        <v>ATL</v>
      </c>
      <c r="I3" t="str" cm="1">
        <f t="array" aca="1" ref="I3" ca="1">OFFSET(INDIRECT("'G:\My Drive\nfl-model-site\data\[nfl_predict_outcome"&amp;$C3&amp;".csv]nfl_predict_outcome"&amp;$C3&amp;"'!A2"),$B3,I$1)</f>
        <v>PIT</v>
      </c>
      <c r="J3" cm="1">
        <f t="array" aca="1" ref="J3" ca="1">OFFSET(INDIRECT("'G:\My Drive\nfl-model-site\data\[nfl_predict_outcome"&amp;$C3&amp;".csv]nfl_predict_outcome"&amp;$C3&amp;"'!A2"),$B3,J$1)</f>
        <v>-1.4</v>
      </c>
      <c r="K3" t="str" cm="1">
        <f t="array" aca="1" ref="K3" ca="1">OFFSET(INDIRECT("'G:\My Drive\nfl-model-site\data\[nfl_predict_outcome"&amp;$C3&amp;".csv]nfl_predict_outcome"&amp;$C3&amp;"'!A2"),$B3,K$1)</f>
        <v>with</v>
      </c>
      <c r="L3" cm="1">
        <f t="array" aca="1" ref="L3" ca="1">OFFSET(INDIRECT("'G:\My Drive\nfl-model-site\data\[nfl_predict_outcome"&amp;$C3&amp;".csv]nfl_predict_outcome"&amp;$C3&amp;"'!A2"),$B3,L$1)</f>
        <v>-6.5</v>
      </c>
      <c r="M3" cm="1">
        <f t="array" aca="1" ref="M3" ca="1">_xlfn.XLOOKUP($D3&amp;$F3&amp;$E3&amp;$G3,[1]nfl_historical_matchup_data!$B:$B&amp;[1]nfl_historical_matchup_data!$C:$C&amp;[1]nfl_historical_matchup_data!$L:$L&amp;[1]nfl_historical_matchup_data!$E:$E,[1]nfl_historical_matchup_data!$I:$I)</f>
        <v>20</v>
      </c>
      <c r="N3" cm="1">
        <f t="array" aca="1" ref="N3" ca="1">_xlfn.XLOOKUP($D3&amp;$F3&amp;$E3&amp;$G3,[1]nfl_historical_matchup_data!$B:$B&amp;[1]nfl_historical_matchup_data!$C:$C&amp;[1]nfl_historical_matchup_data!$L:$L&amp;[1]nfl_historical_matchup_data!$E:$E,[1]nfl_historical_matchup_data!$J:$J)</f>
        <v>13</v>
      </c>
      <c r="O3" t="str">
        <f ca="1">IF(K3="with",IF(J3&lt;L3,I3,IF(G3=I3,H3,G3)),I3)</f>
        <v>ATL</v>
      </c>
      <c r="P3" t="str">
        <f ca="1">IF(K3="with",I3,IF(I3=G3,H3,G3))</f>
        <v>PIT</v>
      </c>
      <c r="Q3">
        <f ca="1">IF(G3=P3,M3,M3+ABS(L3))</f>
        <v>20</v>
      </c>
      <c r="R3">
        <f ca="1">IF(P3=H3,N3,N3+ABS(L3))</f>
        <v>19.5</v>
      </c>
      <c r="S3" t="str">
        <f ca="1">IF(O3=G3,IF(Q3&gt;R3,"Win",IF(Q3=R3,"Push","Lose")),IF(R3&gt;Q3,"Win",IF(R3=Q3,"Push","Lose")))</f>
        <v>Lose</v>
      </c>
      <c r="V3" s="6">
        <f ca="1">COUNTIF($S:$S,V$2)</f>
        <v>53</v>
      </c>
      <c r="W3" s="6">
        <f t="shared" ref="W3:X3" ca="1" si="0">COUNTIF($S:$S,W$2)</f>
        <v>37</v>
      </c>
      <c r="X3" s="6">
        <f t="shared" ca="1" si="0"/>
        <v>3</v>
      </c>
      <c r="Y3" s="8">
        <f ca="1">V3/SUM(V3:W3)</f>
        <v>0.58888888888888891</v>
      </c>
    </row>
    <row r="4" spans="1:25" x14ac:dyDescent="0.35">
      <c r="A4">
        <f t="shared" ref="A4:A68" ca="1" si="1">COUNTA(INDIRECT("'G:\My Drive\nfl-model-site\data\[nfl_predict_outcome"&amp;$C4&amp;".csv]nfl_predict_outcome"&amp;$C4&amp;"'!A:A"))-1</f>
        <v>16</v>
      </c>
      <c r="B4">
        <f t="shared" ref="B4:B18" si="2">IF(C4&lt;&gt;C3,0,B3+1)</f>
        <v>1</v>
      </c>
      <c r="C4" t="str">
        <f t="shared" ref="C4:C18" si="3">D4&amp;"w"&amp;F4&amp;"p"&amp;E4</f>
        <v>2026w1p0</v>
      </c>
      <c r="D4">
        <v>2026</v>
      </c>
      <c r="E4">
        <v>0</v>
      </c>
      <c r="F4">
        <v>1</v>
      </c>
      <c r="G4" t="str" cm="1">
        <f t="array" aca="1" ref="G4" ca="1">OFFSET(INDIRECT("'G:\My Drive\nfl-model-site\data\[nfl_predict_outcome"&amp;$C4&amp;".csv]nfl_predict_outcome"&amp;$C4&amp;"'!A2"),$B4,G$1)</f>
        <v>CIN</v>
      </c>
      <c r="H4" t="str" cm="1">
        <f t="array" aca="1" ref="H4" ca="1">OFFSET(INDIRECT("'G:\My Drive\nfl-model-site\data\[nfl_predict_outcome"&amp;$C4&amp;".csv]nfl_predict_outcome"&amp;$C4&amp;"'!A2"),$B4,H$1)</f>
        <v>TB</v>
      </c>
      <c r="I4" t="str" cm="1">
        <f t="array" aca="1" ref="I4" ca="1">OFFSET(INDIRECT("'G:\My Drive\nfl-model-site\data\[nfl_predict_outcome"&amp;$C4&amp;".csv]nfl_predict_outcome"&amp;$C4&amp;"'!A2"),$B4,I$1)</f>
        <v>CIN</v>
      </c>
      <c r="J4" cm="1">
        <f t="array" aca="1" ref="J4" ca="1">OFFSET(INDIRECT("'G:\My Drive\nfl-model-site\data\[nfl_predict_outcome"&amp;$C4&amp;".csv]nfl_predict_outcome"&amp;$C4&amp;"'!A2"),$B4,J$1)</f>
        <v>-2.8</v>
      </c>
      <c r="K4" t="str" cm="1">
        <f t="array" aca="1" ref="K4" ca="1">OFFSET(INDIRECT("'G:\My Drive\nfl-model-site\data\[nfl_predict_outcome"&amp;$C4&amp;".csv]nfl_predict_outcome"&amp;$C4&amp;"'!A2"),$B4,K$1)</f>
        <v>with</v>
      </c>
      <c r="L4" cm="1">
        <f t="array" aca="1" ref="L4" ca="1">OFFSET(INDIRECT("'G:\My Drive\nfl-model-site\data\[nfl_predict_outcome"&amp;$C4&amp;".csv]nfl_predict_outcome"&amp;$C4&amp;"'!A2"),$B4,L$1)</f>
        <v>-3.7</v>
      </c>
      <c r="M4" cm="1">
        <f t="array" aca="1" ref="M4" ca="1">_xlfn.XLOOKUP($D4&amp;$F4&amp;$E4&amp;$G4,[1]nfl_historical_matchup_data!$B:$B&amp;[1]nfl_historical_matchup_data!$C:$C&amp;[1]nfl_historical_matchup_data!$L:$L&amp;[1]nfl_historical_matchup_data!$E:$E,[1]nfl_historical_matchup_data!$I:$I)</f>
        <v>33</v>
      </c>
      <c r="N4" cm="1">
        <f t="array" aca="1" ref="N4" ca="1">_xlfn.XLOOKUP($D4&amp;$F4&amp;$E4&amp;$G4,[1]nfl_historical_matchup_data!$B:$B&amp;[1]nfl_historical_matchup_data!$C:$C&amp;[1]nfl_historical_matchup_data!$L:$L&amp;[1]nfl_historical_matchup_data!$E:$E,[1]nfl_historical_matchup_data!$J:$J)</f>
        <v>27</v>
      </c>
      <c r="O4" t="str">
        <f t="shared" ref="O4:O67" ca="1" si="4">IF(K4="with",IF(J4&lt;L4,I4,IF(G4=I4,H4,G4)),I4)</f>
        <v>TB</v>
      </c>
      <c r="P4" t="str">
        <f t="shared" ref="P4:P67" ca="1" si="5">IF(K4="with",I4,IF(I4=G4,H4,G4))</f>
        <v>CIN</v>
      </c>
      <c r="Q4">
        <f t="shared" ref="Q4:Q67" ca="1" si="6">IF(G4=P4,M4,M4+ABS(L4))</f>
        <v>33</v>
      </c>
      <c r="R4">
        <f t="shared" ref="R4:R67" ca="1" si="7">IF(P4=H4,N4,N4+ABS(L4))</f>
        <v>30.7</v>
      </c>
      <c r="S4" t="str">
        <f t="shared" ref="S4:S67" ca="1" si="8">IF(O4=G4,IF(Q4&gt;R4,"Win",IF(Q4=R4,"Push","Lose")),IF(R4&gt;Q4,"Win",IF(R4=Q4,"Push","Lose")))</f>
        <v>Lose</v>
      </c>
    </row>
    <row r="5" spans="1:25" x14ac:dyDescent="0.35">
      <c r="A5">
        <f t="shared" ca="1" si="1"/>
        <v>16</v>
      </c>
      <c r="B5">
        <f t="shared" si="2"/>
        <v>2</v>
      </c>
      <c r="C5" t="str">
        <f t="shared" si="3"/>
        <v>2026w1p0</v>
      </c>
      <c r="D5">
        <v>2026</v>
      </c>
      <c r="E5">
        <v>0</v>
      </c>
      <c r="F5">
        <v>1</v>
      </c>
      <c r="G5" t="str" cm="1">
        <f t="array" aca="1" ref="G5" ca="1">OFFSET(INDIRECT("'G:\My Drive\nfl-model-site\data\[nfl_predict_outcome"&amp;$C5&amp;".csv]nfl_predict_outcome"&amp;$C5&amp;"'!A2"),$B5,G$1)</f>
        <v>HOU</v>
      </c>
      <c r="H5" t="str" cm="1">
        <f t="array" aca="1" ref="H5" ca="1">OFFSET(INDIRECT("'G:\My Drive\nfl-model-site\data\[nfl_predict_outcome"&amp;$C5&amp;".csv]nfl_predict_outcome"&amp;$C5&amp;"'!A2"),$B5,H$1)</f>
        <v>BUF</v>
      </c>
      <c r="I5" t="str" cm="1">
        <f t="array" aca="1" ref="I5" ca="1">OFFSET(INDIRECT("'G:\My Drive\nfl-model-site\data\[nfl_predict_outcome"&amp;$C5&amp;".csv]nfl_predict_outcome"&amp;$C5&amp;"'!A2"),$B5,I$1)</f>
        <v>BUF</v>
      </c>
      <c r="J5" cm="1">
        <f t="array" aca="1" ref="J5" ca="1">OFFSET(INDIRECT("'G:\My Drive\nfl-model-site\data\[nfl_predict_outcome"&amp;$C5&amp;".csv]nfl_predict_outcome"&amp;$C5&amp;"'!A2"),$B5,J$1)</f>
        <v>-2.4</v>
      </c>
      <c r="K5" t="str" cm="1">
        <f t="array" aca="1" ref="K5" ca="1">OFFSET(INDIRECT("'G:\My Drive\nfl-model-site\data\[nfl_predict_outcome"&amp;$C5&amp;".csv]nfl_predict_outcome"&amp;$C5&amp;"'!A2"),$B5,K$1)</f>
        <v>with</v>
      </c>
      <c r="L5" cm="1">
        <f t="array" aca="1" ref="L5" ca="1">OFFSET(INDIRECT("'G:\My Drive\nfl-model-site\data\[nfl_predict_outcome"&amp;$C5&amp;".csv]nfl_predict_outcome"&amp;$C5&amp;"'!A2"),$B5,L$1)</f>
        <v>-1.3</v>
      </c>
      <c r="M5" cm="1">
        <f t="array" aca="1" ref="M5" ca="1">_xlfn.XLOOKUP($D5&amp;$F5&amp;$E5&amp;$G5,[1]nfl_historical_matchup_data!$B:$B&amp;[1]nfl_historical_matchup_data!$C:$C&amp;[1]nfl_historical_matchup_data!$L:$L&amp;[1]nfl_historical_matchup_data!$E:$E,[1]nfl_historical_matchup_data!$I:$I)</f>
        <v>31</v>
      </c>
      <c r="N5" cm="1">
        <f t="array" aca="1" ref="N5" ca="1">_xlfn.XLOOKUP($D5&amp;$F5&amp;$E5&amp;$G5,[1]nfl_historical_matchup_data!$B:$B&amp;[1]nfl_historical_matchup_data!$C:$C&amp;[1]nfl_historical_matchup_data!$L:$L&amp;[1]nfl_historical_matchup_data!$E:$E,[1]nfl_historical_matchup_data!$J:$J)</f>
        <v>36</v>
      </c>
      <c r="O5" t="str">
        <f t="shared" ca="1" si="4"/>
        <v>BUF</v>
      </c>
      <c r="P5" t="str">
        <f t="shared" ca="1" si="5"/>
        <v>BUF</v>
      </c>
      <c r="Q5">
        <f t="shared" ca="1" si="6"/>
        <v>32.299999999999997</v>
      </c>
      <c r="R5">
        <f t="shared" ca="1" si="7"/>
        <v>36</v>
      </c>
      <c r="S5" t="str">
        <f t="shared" ca="1" si="8"/>
        <v>Win</v>
      </c>
    </row>
    <row r="6" spans="1:25" x14ac:dyDescent="0.35">
      <c r="A6">
        <f t="shared" ca="1" si="1"/>
        <v>16</v>
      </c>
      <c r="B6">
        <f t="shared" si="2"/>
        <v>3</v>
      </c>
      <c r="C6" t="str">
        <f t="shared" si="3"/>
        <v>2026w1p0</v>
      </c>
      <c r="D6">
        <v>2026</v>
      </c>
      <c r="E6">
        <v>0</v>
      </c>
      <c r="F6">
        <v>1</v>
      </c>
      <c r="G6" t="str" cm="1">
        <f t="array" aca="1" ref="G6" ca="1">OFFSET(INDIRECT("'G:\My Drive\nfl-model-site\data\[nfl_predict_outcome"&amp;$C6&amp;".csv]nfl_predict_outcome"&amp;$C6&amp;"'!A2"),$B6,G$1)</f>
        <v>TEN</v>
      </c>
      <c r="H6" t="str" cm="1">
        <f t="array" aca="1" ref="H6" ca="1">OFFSET(INDIRECT("'G:\My Drive\nfl-model-site\data\[nfl_predict_outcome"&amp;$C6&amp;".csv]nfl_predict_outcome"&amp;$C6&amp;"'!A2"),$B6,H$1)</f>
        <v>NYJ</v>
      </c>
      <c r="I6" t="str" cm="1">
        <f t="array" aca="1" ref="I6" ca="1">OFFSET(INDIRECT("'G:\My Drive\nfl-model-site\data\[nfl_predict_outcome"&amp;$C6&amp;".csv]nfl_predict_outcome"&amp;$C6&amp;"'!A2"),$B6,I$1)</f>
        <v>NYJ</v>
      </c>
      <c r="J6" cm="1">
        <f t="array" aca="1" ref="J6" ca="1">OFFSET(INDIRECT("'G:\My Drive\nfl-model-site\data\[nfl_predict_outcome"&amp;$C6&amp;".csv]nfl_predict_outcome"&amp;$C6&amp;"'!A2"),$B6,J$1)</f>
        <v>-1.5</v>
      </c>
      <c r="K6" t="str" cm="1">
        <f t="array" aca="1" ref="K6" ca="1">OFFSET(INDIRECT("'G:\My Drive\nfl-model-site\data\[nfl_predict_outcome"&amp;$C6&amp;".csv]nfl_predict_outcome"&amp;$C6&amp;"'!A2"),$B6,K$1)</f>
        <v>against</v>
      </c>
      <c r="L6" cm="1">
        <f t="array" aca="1" ref="L6" ca="1">OFFSET(INDIRECT("'G:\My Drive\nfl-model-site\data\[nfl_predict_outcome"&amp;$C6&amp;".csv]nfl_predict_outcome"&amp;$C6&amp;"'!A2"),$B6,L$1)</f>
        <v>1.5</v>
      </c>
      <c r="M6" cm="1">
        <f t="array" aca="1" ref="M6" ca="1">_xlfn.XLOOKUP($D6&amp;$F6&amp;$E6&amp;$G6,[1]nfl_historical_matchup_data!$B:$B&amp;[1]nfl_historical_matchup_data!$C:$C&amp;[1]nfl_historical_matchup_data!$L:$L&amp;[1]nfl_historical_matchup_data!$E:$E,[1]nfl_historical_matchup_data!$I:$I)</f>
        <v>10</v>
      </c>
      <c r="N6" cm="1">
        <f t="array" aca="1" ref="N6" ca="1">_xlfn.XLOOKUP($D6&amp;$F6&amp;$E6&amp;$G6,[1]nfl_historical_matchup_data!$B:$B&amp;[1]nfl_historical_matchup_data!$C:$C&amp;[1]nfl_historical_matchup_data!$L:$L&amp;[1]nfl_historical_matchup_data!$E:$E,[1]nfl_historical_matchup_data!$J:$J)</f>
        <v>23</v>
      </c>
      <c r="O6" t="str">
        <f t="shared" ca="1" si="4"/>
        <v>NYJ</v>
      </c>
      <c r="P6" t="str">
        <f t="shared" ca="1" si="5"/>
        <v>TEN</v>
      </c>
      <c r="Q6">
        <f t="shared" ca="1" si="6"/>
        <v>10</v>
      </c>
      <c r="R6">
        <f t="shared" ca="1" si="7"/>
        <v>24.5</v>
      </c>
      <c r="S6" t="str">
        <f t="shared" ca="1" si="8"/>
        <v>Win</v>
      </c>
    </row>
    <row r="7" spans="1:25" x14ac:dyDescent="0.35">
      <c r="A7">
        <f t="shared" ca="1" si="1"/>
        <v>16</v>
      </c>
      <c r="B7">
        <f t="shared" si="2"/>
        <v>4</v>
      </c>
      <c r="C7" t="str">
        <f t="shared" si="3"/>
        <v>2026w1p0</v>
      </c>
      <c r="D7">
        <v>2026</v>
      </c>
      <c r="E7">
        <v>0</v>
      </c>
      <c r="F7">
        <v>1</v>
      </c>
      <c r="G7" t="str" cm="1">
        <f t="array" aca="1" ref="G7" ca="1">OFFSET(INDIRECT("'G:\My Drive\nfl-model-site\data\[nfl_predict_outcome"&amp;$C7&amp;".csv]nfl_predict_outcome"&amp;$C7&amp;"'!A2"),$B7,G$1)</f>
        <v>IND</v>
      </c>
      <c r="H7" t="str" cm="1">
        <f t="array" aca="1" ref="H7" ca="1">OFFSET(INDIRECT("'G:\My Drive\nfl-model-site\data\[nfl_predict_outcome"&amp;$C7&amp;".csv]nfl_predict_outcome"&amp;$C7&amp;"'!A2"),$B7,H$1)</f>
        <v>BAL</v>
      </c>
      <c r="I7" t="str" cm="1">
        <f t="array" aca="1" ref="I7" ca="1">OFFSET(INDIRECT("'G:\My Drive\nfl-model-site\data\[nfl_predict_outcome"&amp;$C7&amp;".csv]nfl_predict_outcome"&amp;$C7&amp;"'!A2"),$B7,I$1)</f>
        <v>BAL</v>
      </c>
      <c r="J7" cm="1">
        <f t="array" aca="1" ref="J7" ca="1">OFFSET(INDIRECT("'G:\My Drive\nfl-model-site\data\[nfl_predict_outcome"&amp;$C7&amp;".csv]nfl_predict_outcome"&amp;$C7&amp;"'!A2"),$B7,J$1)</f>
        <v>-1.8</v>
      </c>
      <c r="K7" t="str" cm="1">
        <f t="array" aca="1" ref="K7" ca="1">OFFSET(INDIRECT("'G:\My Drive\nfl-model-site\data\[nfl_predict_outcome"&amp;$C7&amp;".csv]nfl_predict_outcome"&amp;$C7&amp;"'!A2"),$B7,K$1)</f>
        <v>with</v>
      </c>
      <c r="L7" cm="1">
        <f t="array" aca="1" ref="L7" ca="1">OFFSET(INDIRECT("'G:\My Drive\nfl-model-site\data\[nfl_predict_outcome"&amp;$C7&amp;".csv]nfl_predict_outcome"&amp;$C7&amp;"'!A2"),$B7,L$1)</f>
        <v>-3.3</v>
      </c>
      <c r="M7" cm="1">
        <f t="array" aca="1" ref="M7" ca="1">_xlfn.XLOOKUP($D7&amp;$F7&amp;$E7&amp;$G7,[1]nfl_historical_matchup_data!$B:$B&amp;[1]nfl_historical_matchup_data!$C:$C&amp;[1]nfl_historical_matchup_data!$L:$L&amp;[1]nfl_historical_matchup_data!$E:$E,[1]nfl_historical_matchup_data!$I:$I)</f>
        <v>23</v>
      </c>
      <c r="N7" cm="1">
        <f t="array" aca="1" ref="N7" ca="1">_xlfn.XLOOKUP($D7&amp;$F7&amp;$E7&amp;$G7,[1]nfl_historical_matchup_data!$B:$B&amp;[1]nfl_historical_matchup_data!$C:$C&amp;[1]nfl_historical_matchup_data!$L:$L&amp;[1]nfl_historical_matchup_data!$E:$E,[1]nfl_historical_matchup_data!$J:$J)</f>
        <v>41</v>
      </c>
      <c r="O7" t="str">
        <f t="shared" ca="1" si="4"/>
        <v>IND</v>
      </c>
      <c r="P7" t="str">
        <f t="shared" ca="1" si="5"/>
        <v>BAL</v>
      </c>
      <c r="Q7">
        <f t="shared" ca="1" si="6"/>
        <v>26.3</v>
      </c>
      <c r="R7">
        <f t="shared" ca="1" si="7"/>
        <v>41</v>
      </c>
      <c r="S7" t="str">
        <f t="shared" ca="1" si="8"/>
        <v>Lose</v>
      </c>
    </row>
    <row r="8" spans="1:25" x14ac:dyDescent="0.35">
      <c r="A8">
        <f t="shared" ca="1" si="1"/>
        <v>16</v>
      </c>
      <c r="B8">
        <f t="shared" si="2"/>
        <v>5</v>
      </c>
      <c r="C8" t="str">
        <f t="shared" si="3"/>
        <v>2026w1p0</v>
      </c>
      <c r="D8">
        <v>2026</v>
      </c>
      <c r="E8">
        <v>0</v>
      </c>
      <c r="F8">
        <v>1</v>
      </c>
      <c r="G8" t="str" cm="1">
        <f t="array" aca="1" ref="G8" ca="1">OFFSET(INDIRECT("'G:\My Drive\nfl-model-site\data\[nfl_predict_outcome"&amp;$C8&amp;".csv]nfl_predict_outcome"&amp;$C8&amp;"'!A2"),$B8,G$1)</f>
        <v>JAX</v>
      </c>
      <c r="H8" t="str" cm="1">
        <f t="array" aca="1" ref="H8" ca="1">OFFSET(INDIRECT("'G:\My Drive\nfl-model-site\data\[nfl_predict_outcome"&amp;$C8&amp;".csv]nfl_predict_outcome"&amp;$C8&amp;"'!A2"),$B8,H$1)</f>
        <v>CLE</v>
      </c>
      <c r="I8" t="str" cm="1">
        <f t="array" aca="1" ref="I8" ca="1">OFFSET(INDIRECT("'G:\My Drive\nfl-model-site\data\[nfl_predict_outcome"&amp;$C8&amp;".csv]nfl_predict_outcome"&amp;$C8&amp;"'!A2"),$B8,I$1)</f>
        <v>JAX</v>
      </c>
      <c r="J8" cm="1">
        <f t="array" aca="1" ref="J8" ca="1">OFFSET(INDIRECT("'G:\My Drive\nfl-model-site\data\[nfl_predict_outcome"&amp;$C8&amp;".csv]nfl_predict_outcome"&amp;$C8&amp;"'!A2"),$B8,J$1)</f>
        <v>-8.9</v>
      </c>
      <c r="K8" t="str" cm="1">
        <f t="array" aca="1" ref="K8" ca="1">OFFSET(INDIRECT("'G:\My Drive\nfl-model-site\data\[nfl_predict_outcome"&amp;$C8&amp;".csv]nfl_predict_outcome"&amp;$C8&amp;"'!A2"),$B8,K$1)</f>
        <v>with</v>
      </c>
      <c r="L8" cm="1">
        <f t="array" aca="1" ref="L8" ca="1">OFFSET(INDIRECT("'G:\My Drive\nfl-model-site\data\[nfl_predict_outcome"&amp;$C8&amp;".csv]nfl_predict_outcome"&amp;$C8&amp;"'!A2"),$B8,L$1)</f>
        <v>-8.6999999999999993</v>
      </c>
      <c r="M8" cm="1">
        <f t="array" aca="1" ref="M8" ca="1">_xlfn.XLOOKUP($D8&amp;$F8&amp;$E8&amp;$G8,[1]nfl_historical_matchup_data!$B:$B&amp;[1]nfl_historical_matchup_data!$C:$C&amp;[1]nfl_historical_matchup_data!$L:$L&amp;[1]nfl_historical_matchup_data!$E:$E,[1]nfl_historical_matchup_data!$I:$I)</f>
        <v>34</v>
      </c>
      <c r="N8" cm="1">
        <f t="array" aca="1" ref="N8" ca="1">_xlfn.XLOOKUP($D8&amp;$F8&amp;$E8&amp;$G8,[1]nfl_historical_matchup_data!$B:$B&amp;[1]nfl_historical_matchup_data!$C:$C&amp;[1]nfl_historical_matchup_data!$L:$L&amp;[1]nfl_historical_matchup_data!$E:$E,[1]nfl_historical_matchup_data!$J:$J)</f>
        <v>10</v>
      </c>
      <c r="O8" t="str">
        <f t="shared" ca="1" si="4"/>
        <v>JAX</v>
      </c>
      <c r="P8" t="str">
        <f t="shared" ca="1" si="5"/>
        <v>JAX</v>
      </c>
      <c r="Q8">
        <f t="shared" ca="1" si="6"/>
        <v>34</v>
      </c>
      <c r="R8">
        <f t="shared" ca="1" si="7"/>
        <v>18.7</v>
      </c>
      <c r="S8" t="str">
        <f t="shared" ca="1" si="8"/>
        <v>Win</v>
      </c>
    </row>
    <row r="9" spans="1:25" x14ac:dyDescent="0.35">
      <c r="A9">
        <f t="shared" ca="1" si="1"/>
        <v>16</v>
      </c>
      <c r="B9">
        <f t="shared" si="2"/>
        <v>6</v>
      </c>
      <c r="C9" t="str">
        <f t="shared" si="3"/>
        <v>2026w1p0</v>
      </c>
      <c r="D9">
        <v>2026</v>
      </c>
      <c r="E9">
        <v>0</v>
      </c>
      <c r="F9">
        <v>1</v>
      </c>
      <c r="G9" t="str" cm="1">
        <f t="array" aca="1" ref="G9" ca="1">OFFSET(INDIRECT("'G:\My Drive\nfl-model-site\data\[nfl_predict_outcome"&amp;$C9&amp;".csv]nfl_predict_outcome"&amp;$C9&amp;"'!A2"),$B9,G$1)</f>
        <v>KC</v>
      </c>
      <c r="H9" t="str" cm="1">
        <f t="array" aca="1" ref="H9" ca="1">OFFSET(INDIRECT("'G:\My Drive\nfl-model-site\data\[nfl_predict_outcome"&amp;$C9&amp;".csv]nfl_predict_outcome"&amp;$C9&amp;"'!A2"),$B9,H$1)</f>
        <v>DEN</v>
      </c>
      <c r="I9" t="str" cm="1">
        <f t="array" aca="1" ref="I9" ca="1">OFFSET(INDIRECT("'G:\My Drive\nfl-model-site\data\[nfl_predict_outcome"&amp;$C9&amp;".csv]nfl_predict_outcome"&amp;$C9&amp;"'!A2"),$B9,I$1)</f>
        <v>KC</v>
      </c>
      <c r="J9" cm="1">
        <f t="array" aca="1" ref="J9" ca="1">OFFSET(INDIRECT("'G:\My Drive\nfl-model-site\data\[nfl_predict_outcome"&amp;$C9&amp;".csv]nfl_predict_outcome"&amp;$C9&amp;"'!A2"),$B9,J$1)</f>
        <v>-1.2</v>
      </c>
      <c r="K9" t="str" cm="1">
        <f t="array" aca="1" ref="K9" ca="1">OFFSET(INDIRECT("'G:\My Drive\nfl-model-site\data\[nfl_predict_outcome"&amp;$C9&amp;".csv]nfl_predict_outcome"&amp;$C9&amp;"'!A2"),$B9,K$1)</f>
        <v>with</v>
      </c>
      <c r="L9" cm="1">
        <f t="array" aca="1" ref="L9" ca="1">OFFSET(INDIRECT("'G:\My Drive\nfl-model-site\data\[nfl_predict_outcome"&amp;$C9&amp;".csv]nfl_predict_outcome"&amp;$C9&amp;"'!A2"),$B9,L$1)</f>
        <v>-2.2999999999999998</v>
      </c>
      <c r="M9" cm="1">
        <f t="array" aca="1" ref="M9" ca="1">_xlfn.XLOOKUP($D9&amp;$F9&amp;$E9&amp;$G9,[1]nfl_historical_matchup_data!$B:$B&amp;[1]nfl_historical_matchup_data!$C:$C&amp;[1]nfl_historical_matchup_data!$L:$L&amp;[1]nfl_historical_matchup_data!$E:$E,[1]nfl_historical_matchup_data!$I:$I)</f>
        <v>31</v>
      </c>
      <c r="N9" cm="1">
        <f t="array" aca="1" ref="N9" ca="1">_xlfn.XLOOKUP($D9&amp;$F9&amp;$E9&amp;$G9,[1]nfl_historical_matchup_data!$B:$B&amp;[1]nfl_historical_matchup_data!$C:$C&amp;[1]nfl_historical_matchup_data!$L:$L&amp;[1]nfl_historical_matchup_data!$E:$E,[1]nfl_historical_matchup_data!$J:$J)</f>
        <v>10</v>
      </c>
      <c r="O9" t="str">
        <f t="shared" ca="1" si="4"/>
        <v>DEN</v>
      </c>
      <c r="P9" t="str">
        <f t="shared" ca="1" si="5"/>
        <v>KC</v>
      </c>
      <c r="Q9">
        <f t="shared" ca="1" si="6"/>
        <v>31</v>
      </c>
      <c r="R9">
        <f t="shared" ca="1" si="7"/>
        <v>12.3</v>
      </c>
      <c r="S9" t="str">
        <f t="shared" ca="1" si="8"/>
        <v>Lose</v>
      </c>
    </row>
    <row r="10" spans="1:25" x14ac:dyDescent="0.35">
      <c r="A10">
        <f t="shared" ca="1" si="1"/>
        <v>16</v>
      </c>
      <c r="B10">
        <f t="shared" si="2"/>
        <v>7</v>
      </c>
      <c r="C10" t="str">
        <f t="shared" si="3"/>
        <v>2026w1p0</v>
      </c>
      <c r="D10">
        <v>2026</v>
      </c>
      <c r="E10">
        <v>0</v>
      </c>
      <c r="F10">
        <v>1</v>
      </c>
      <c r="G10" t="str" cm="1">
        <f t="array" aca="1" ref="G10" ca="1">OFFSET(INDIRECT("'G:\My Drive\nfl-model-site\data\[nfl_predict_outcome"&amp;$C10&amp;".csv]nfl_predict_outcome"&amp;$C10&amp;"'!A2"),$B10,G$1)</f>
        <v>LV</v>
      </c>
      <c r="H10" t="str" cm="1">
        <f t="array" aca="1" ref="H10" ca="1">OFFSET(INDIRECT("'G:\My Drive\nfl-model-site\data\[nfl_predict_outcome"&amp;$C10&amp;".csv]nfl_predict_outcome"&amp;$C10&amp;"'!A2"),$B10,H$1)</f>
        <v>MIA</v>
      </c>
      <c r="I10" t="str" cm="1">
        <f t="array" aca="1" ref="I10" ca="1">OFFSET(INDIRECT("'G:\My Drive\nfl-model-site\data\[nfl_predict_outcome"&amp;$C10&amp;".csv]nfl_predict_outcome"&amp;$C10&amp;"'!A2"),$B10,I$1)</f>
        <v>MIA</v>
      </c>
      <c r="J10" cm="1">
        <f t="array" aca="1" ref="J10" ca="1">OFFSET(INDIRECT("'G:\My Drive\nfl-model-site\data\[nfl_predict_outcome"&amp;$C10&amp;".csv]nfl_predict_outcome"&amp;$C10&amp;"'!A2"),$B10,J$1)</f>
        <v>-1.9</v>
      </c>
      <c r="K10" t="str" cm="1">
        <f t="array" aca="1" ref="K10" ca="1">OFFSET(INDIRECT("'G:\My Drive\nfl-model-site\data\[nfl_predict_outcome"&amp;$C10&amp;".csv]nfl_predict_outcome"&amp;$C10&amp;"'!A2"),$B10,K$1)</f>
        <v>against</v>
      </c>
      <c r="L10" cm="1">
        <f t="array" aca="1" ref="L10" ca="1">OFFSET(INDIRECT("'G:\My Drive\nfl-model-site\data\[nfl_predict_outcome"&amp;$C10&amp;".csv]nfl_predict_outcome"&amp;$C10&amp;"'!A2"),$B10,L$1)</f>
        <v>3</v>
      </c>
      <c r="M10" cm="1">
        <f t="array" aca="1" ref="M10" ca="1">_xlfn.XLOOKUP($D10&amp;$F10&amp;$E10&amp;$G10,[1]nfl_historical_matchup_data!$B:$B&amp;[1]nfl_historical_matchup_data!$C:$C&amp;[1]nfl_historical_matchup_data!$L:$L&amp;[1]nfl_historical_matchup_data!$E:$E,[1]nfl_historical_matchup_data!$I:$I)</f>
        <v>27</v>
      </c>
      <c r="N10" cm="1">
        <f t="array" aca="1" ref="N10" ca="1">_xlfn.XLOOKUP($D10&amp;$F10&amp;$E10&amp;$G10,[1]nfl_historical_matchup_data!$B:$B&amp;[1]nfl_historical_matchup_data!$C:$C&amp;[1]nfl_historical_matchup_data!$L:$L&amp;[1]nfl_historical_matchup_data!$E:$E,[1]nfl_historical_matchup_data!$J:$J)</f>
        <v>13</v>
      </c>
      <c r="O10" t="str">
        <f t="shared" ca="1" si="4"/>
        <v>MIA</v>
      </c>
      <c r="P10" t="str">
        <f t="shared" ca="1" si="5"/>
        <v>LV</v>
      </c>
      <c r="Q10">
        <f t="shared" ca="1" si="6"/>
        <v>27</v>
      </c>
      <c r="R10">
        <f t="shared" ca="1" si="7"/>
        <v>16</v>
      </c>
      <c r="S10" t="str">
        <f t="shared" ca="1" si="8"/>
        <v>Lose</v>
      </c>
    </row>
    <row r="11" spans="1:25" x14ac:dyDescent="0.35">
      <c r="A11">
        <f t="shared" ca="1" si="1"/>
        <v>16</v>
      </c>
      <c r="B11">
        <f t="shared" si="2"/>
        <v>8</v>
      </c>
      <c r="C11" t="str">
        <f t="shared" si="3"/>
        <v>2026w1p0</v>
      </c>
      <c r="D11">
        <v>2026</v>
      </c>
      <c r="E11">
        <v>0</v>
      </c>
      <c r="F11">
        <v>1</v>
      </c>
      <c r="G11" t="str" cm="1">
        <f t="array" aca="1" ref="G11" ca="1">OFFSET(INDIRECT("'G:\My Drive\nfl-model-site\data\[nfl_predict_outcome"&amp;$C11&amp;".csv]nfl_predict_outcome"&amp;$C11&amp;"'!A2"),$B11,G$1)</f>
        <v>LAC</v>
      </c>
      <c r="H11" t="str" cm="1">
        <f t="array" aca="1" ref="H11" ca="1">OFFSET(INDIRECT("'G:\My Drive\nfl-model-site\data\[nfl_predict_outcome"&amp;$C11&amp;".csv]nfl_predict_outcome"&amp;$C11&amp;"'!A2"),$B11,H$1)</f>
        <v>ARI</v>
      </c>
      <c r="I11" t="str" cm="1">
        <f t="array" aca="1" ref="I11" ca="1">OFFSET(INDIRECT("'G:\My Drive\nfl-model-site\data\[nfl_predict_outcome"&amp;$C11&amp;".csv]nfl_predict_outcome"&amp;$C11&amp;"'!A2"),$B11,I$1)</f>
        <v>LAC</v>
      </c>
      <c r="J11" cm="1">
        <f t="array" aca="1" ref="J11" ca="1">OFFSET(INDIRECT("'G:\My Drive\nfl-model-site\data\[nfl_predict_outcome"&amp;$C11&amp;".csv]nfl_predict_outcome"&amp;$C11&amp;"'!A2"),$B11,J$1)</f>
        <v>-5.5</v>
      </c>
      <c r="K11" t="str" cm="1">
        <f t="array" aca="1" ref="K11" ca="1">OFFSET(INDIRECT("'G:\My Drive\nfl-model-site\data\[nfl_predict_outcome"&amp;$C11&amp;".csv]nfl_predict_outcome"&amp;$C11&amp;"'!A2"),$B11,K$1)</f>
        <v>with</v>
      </c>
      <c r="L11" cm="1">
        <f t="array" aca="1" ref="L11" ca="1">OFFSET(INDIRECT("'G:\My Drive\nfl-model-site\data\[nfl_predict_outcome"&amp;$C11&amp;".csv]nfl_predict_outcome"&amp;$C11&amp;"'!A2"),$B11,L$1)</f>
        <v>-9.5</v>
      </c>
      <c r="M11" cm="1">
        <f t="array" aca="1" ref="M11" ca="1">_xlfn.XLOOKUP($D11&amp;$F11&amp;$E11&amp;$G11,[1]nfl_historical_matchup_data!$B:$B&amp;[1]nfl_historical_matchup_data!$C:$C&amp;[1]nfl_historical_matchup_data!$L:$L&amp;[1]nfl_historical_matchup_data!$E:$E,[1]nfl_historical_matchup_data!$I:$I)</f>
        <v>14</v>
      </c>
      <c r="N11" cm="1">
        <f t="array" aca="1" ref="N11" ca="1">_xlfn.XLOOKUP($D11&amp;$F11&amp;$E11&amp;$G11,[1]nfl_historical_matchup_data!$B:$B&amp;[1]nfl_historical_matchup_data!$C:$C&amp;[1]nfl_historical_matchup_data!$L:$L&amp;[1]nfl_historical_matchup_data!$E:$E,[1]nfl_historical_matchup_data!$J:$J)</f>
        <v>26</v>
      </c>
      <c r="O11" t="str">
        <f t="shared" ca="1" si="4"/>
        <v>ARI</v>
      </c>
      <c r="P11" t="str">
        <f t="shared" ca="1" si="5"/>
        <v>LAC</v>
      </c>
      <c r="Q11">
        <f t="shared" ca="1" si="6"/>
        <v>14</v>
      </c>
      <c r="R11">
        <f t="shared" ca="1" si="7"/>
        <v>35.5</v>
      </c>
      <c r="S11" t="str">
        <f t="shared" ca="1" si="8"/>
        <v>Win</v>
      </c>
    </row>
    <row r="12" spans="1:25" x14ac:dyDescent="0.35">
      <c r="A12">
        <f t="shared" ca="1" si="1"/>
        <v>16</v>
      </c>
      <c r="B12">
        <f t="shared" si="2"/>
        <v>9</v>
      </c>
      <c r="C12" t="str">
        <f t="shared" si="3"/>
        <v>2026w1p0</v>
      </c>
      <c r="D12">
        <v>2026</v>
      </c>
      <c r="E12">
        <v>0</v>
      </c>
      <c r="F12">
        <v>1</v>
      </c>
      <c r="G12" t="str" cm="1">
        <f t="array" aca="1" ref="G12" ca="1">OFFSET(INDIRECT("'G:\My Drive\nfl-model-site\data\[nfl_predict_outcome"&amp;$C12&amp;".csv]nfl_predict_outcome"&amp;$C12&amp;"'!A2"),$B12,G$1)</f>
        <v>PHI</v>
      </c>
      <c r="H12" t="str" cm="1">
        <f t="array" aca="1" ref="H12" ca="1">OFFSET(INDIRECT("'G:\My Drive\nfl-model-site\data\[nfl_predict_outcome"&amp;$C12&amp;".csv]nfl_predict_outcome"&amp;$C12&amp;"'!A2"),$B12,H$1)</f>
        <v>WSH</v>
      </c>
      <c r="I12" t="str" cm="1">
        <f t="array" aca="1" ref="I12" ca="1">OFFSET(INDIRECT("'G:\My Drive\nfl-model-site\data\[nfl_predict_outcome"&amp;$C12&amp;".csv]nfl_predict_outcome"&amp;$C12&amp;"'!A2"),$B12,I$1)</f>
        <v>PHI</v>
      </c>
      <c r="J12" cm="1">
        <f t="array" aca="1" ref="J12" ca="1">OFFSET(INDIRECT("'G:\My Drive\nfl-model-site\data\[nfl_predict_outcome"&amp;$C12&amp;".csv]nfl_predict_outcome"&amp;$C12&amp;"'!A2"),$B12,J$1)</f>
        <v>-2.6</v>
      </c>
      <c r="K12" t="str" cm="1">
        <f t="array" aca="1" ref="K12" ca="1">OFFSET(INDIRECT("'G:\My Drive\nfl-model-site\data\[nfl_predict_outcome"&amp;$C12&amp;".csv]nfl_predict_outcome"&amp;$C12&amp;"'!A2"),$B12,K$1)</f>
        <v>with</v>
      </c>
      <c r="L12" cm="1">
        <f t="array" aca="1" ref="L12" ca="1">OFFSET(INDIRECT("'G:\My Drive\nfl-model-site\data\[nfl_predict_outcome"&amp;$C12&amp;".csv]nfl_predict_outcome"&amp;$C12&amp;"'!A2"),$B12,L$1)</f>
        <v>-5.7</v>
      </c>
      <c r="M12" cm="1">
        <f t="array" aca="1" ref="M12" ca="1">_xlfn.XLOOKUP($D12&amp;$F12&amp;$E12&amp;$G12,[1]nfl_historical_matchup_data!$B:$B&amp;[1]nfl_historical_matchup_data!$C:$C&amp;[1]nfl_historical_matchup_data!$L:$L&amp;[1]nfl_historical_matchup_data!$E:$E,[1]nfl_historical_matchup_data!$I:$I)</f>
        <v>24</v>
      </c>
      <c r="N12" cm="1">
        <f t="array" aca="1" ref="N12" ca="1">_xlfn.XLOOKUP($D12&amp;$F12&amp;$E12&amp;$G12,[1]nfl_historical_matchup_data!$B:$B&amp;[1]nfl_historical_matchup_data!$C:$C&amp;[1]nfl_historical_matchup_data!$L:$L&amp;[1]nfl_historical_matchup_data!$E:$E,[1]nfl_historical_matchup_data!$J:$J)</f>
        <v>22</v>
      </c>
      <c r="O12" t="str">
        <f t="shared" ca="1" si="4"/>
        <v>WSH</v>
      </c>
      <c r="P12" t="str">
        <f t="shared" ca="1" si="5"/>
        <v>PHI</v>
      </c>
      <c r="Q12">
        <f t="shared" ca="1" si="6"/>
        <v>24</v>
      </c>
      <c r="R12">
        <f t="shared" ca="1" si="7"/>
        <v>27.7</v>
      </c>
      <c r="S12" t="str">
        <f t="shared" ca="1" si="8"/>
        <v>Win</v>
      </c>
    </row>
    <row r="13" spans="1:25" x14ac:dyDescent="0.35">
      <c r="A13">
        <f t="shared" ca="1" si="1"/>
        <v>16</v>
      </c>
      <c r="B13">
        <f t="shared" si="2"/>
        <v>10</v>
      </c>
      <c r="C13" t="str">
        <f t="shared" si="3"/>
        <v>2026w1p0</v>
      </c>
      <c r="D13">
        <v>2026</v>
      </c>
      <c r="E13">
        <v>0</v>
      </c>
      <c r="F13">
        <v>1</v>
      </c>
      <c r="G13" t="str" cm="1">
        <f t="array" aca="1" ref="G13" ca="1">OFFSET(INDIRECT("'G:\My Drive\nfl-model-site\data\[nfl_predict_outcome"&amp;$C13&amp;".csv]nfl_predict_outcome"&amp;$C13&amp;"'!A2"),$B13,G$1)</f>
        <v>NYG</v>
      </c>
      <c r="H13" t="str" cm="1">
        <f t="array" aca="1" ref="H13" ca="1">OFFSET(INDIRECT("'G:\My Drive\nfl-model-site\data\[nfl_predict_outcome"&amp;$C13&amp;".csv]nfl_predict_outcome"&amp;$C13&amp;"'!A2"),$B13,H$1)</f>
        <v>DAL</v>
      </c>
      <c r="I13" t="str" cm="1">
        <f t="array" aca="1" ref="I13" ca="1">OFFSET(INDIRECT("'G:\My Drive\nfl-model-site\data\[nfl_predict_outcome"&amp;$C13&amp;".csv]nfl_predict_outcome"&amp;$C13&amp;"'!A2"),$B13,I$1)</f>
        <v>DAL</v>
      </c>
      <c r="J13" cm="1">
        <f t="array" aca="1" ref="J13" ca="1">OFFSET(INDIRECT("'G:\My Drive\nfl-model-site\data\[nfl_predict_outcome"&amp;$C13&amp;".csv]nfl_predict_outcome"&amp;$C13&amp;"'!A2"),$B13,J$1)</f>
        <v>-3.3</v>
      </c>
      <c r="K13" t="str" cm="1">
        <f t="array" aca="1" ref="K13" ca="1">OFFSET(INDIRECT("'G:\My Drive\nfl-model-site\data\[nfl_predict_outcome"&amp;$C13&amp;".csv]nfl_predict_outcome"&amp;$C13&amp;"'!A2"),$B13,K$1)</f>
        <v>with</v>
      </c>
      <c r="L13" cm="1">
        <f t="array" aca="1" ref="L13" ca="1">OFFSET(INDIRECT("'G:\My Drive\nfl-model-site\data\[nfl_predict_outcome"&amp;$C13&amp;".csv]nfl_predict_outcome"&amp;$C13&amp;"'!A2"),$B13,L$1)</f>
        <v>-3</v>
      </c>
      <c r="M13" cm="1">
        <f t="array" aca="1" ref="M13" ca="1">_xlfn.XLOOKUP($D13&amp;$F13&amp;$E13&amp;$G13,[1]nfl_historical_matchup_data!$B:$B&amp;[1]nfl_historical_matchup_data!$C:$C&amp;[1]nfl_historical_matchup_data!$L:$L&amp;[1]nfl_historical_matchup_data!$E:$E,[1]nfl_historical_matchup_data!$I:$I)</f>
        <v>28</v>
      </c>
      <c r="N13" cm="1">
        <f t="array" aca="1" ref="N13" ca="1">_xlfn.XLOOKUP($D13&amp;$F13&amp;$E13&amp;$G13,[1]nfl_historical_matchup_data!$B:$B&amp;[1]nfl_historical_matchup_data!$C:$C&amp;[1]nfl_historical_matchup_data!$L:$L&amp;[1]nfl_historical_matchup_data!$E:$E,[1]nfl_historical_matchup_data!$J:$J)</f>
        <v>20</v>
      </c>
      <c r="O13" t="str">
        <f t="shared" ca="1" si="4"/>
        <v>DAL</v>
      </c>
      <c r="P13" t="str">
        <f t="shared" ca="1" si="5"/>
        <v>DAL</v>
      </c>
      <c r="Q13">
        <f t="shared" ca="1" si="6"/>
        <v>31</v>
      </c>
      <c r="R13">
        <f t="shared" ca="1" si="7"/>
        <v>20</v>
      </c>
      <c r="S13" t="str">
        <f t="shared" ca="1" si="8"/>
        <v>Lose</v>
      </c>
    </row>
    <row r="14" spans="1:25" x14ac:dyDescent="0.35">
      <c r="A14">
        <f t="shared" ca="1" si="1"/>
        <v>16</v>
      </c>
      <c r="B14">
        <f t="shared" si="2"/>
        <v>11</v>
      </c>
      <c r="C14" t="str">
        <f t="shared" si="3"/>
        <v>2026w1p0</v>
      </c>
      <c r="D14">
        <v>2026</v>
      </c>
      <c r="E14">
        <v>0</v>
      </c>
      <c r="F14">
        <v>1</v>
      </c>
      <c r="G14" t="str" cm="1">
        <f t="array" aca="1" ref="G14" ca="1">OFFSET(INDIRECT("'G:\My Drive\nfl-model-site\data\[nfl_predict_outcome"&amp;$C14&amp;".csv]nfl_predict_outcome"&amp;$C14&amp;"'!A2"),$B14,G$1)</f>
        <v>MIN</v>
      </c>
      <c r="H14" t="str" cm="1">
        <f t="array" aca="1" ref="H14" ca="1">OFFSET(INDIRECT("'G:\My Drive\nfl-model-site\data\[nfl_predict_outcome"&amp;$C14&amp;".csv]nfl_predict_outcome"&amp;$C14&amp;"'!A2"),$B14,H$1)</f>
        <v>GB</v>
      </c>
      <c r="I14" t="str" cm="1">
        <f t="array" aca="1" ref="I14" ca="1">OFFSET(INDIRECT("'G:\My Drive\nfl-model-site\data\[nfl_predict_outcome"&amp;$C14&amp;".csv]nfl_predict_outcome"&amp;$C14&amp;"'!A2"),$B14,I$1)</f>
        <v>GB</v>
      </c>
      <c r="J14" cm="1">
        <f t="array" aca="1" ref="J14" ca="1">OFFSET(INDIRECT("'G:\My Drive\nfl-model-site\data\[nfl_predict_outcome"&amp;$C14&amp;".csv]nfl_predict_outcome"&amp;$C14&amp;"'!A2"),$B14,J$1)</f>
        <v>-4.9000000000000004</v>
      </c>
      <c r="K14" t="str" cm="1">
        <f t="array" aca="1" ref="K14" ca="1">OFFSET(INDIRECT("'G:\My Drive\nfl-model-site\data\[nfl_predict_outcome"&amp;$C14&amp;".csv]nfl_predict_outcome"&amp;$C14&amp;"'!A2"),$B14,K$1)</f>
        <v>against</v>
      </c>
      <c r="L14" cm="1">
        <f t="array" aca="1" ref="L14" ca="1">OFFSET(INDIRECT("'G:\My Drive\nfl-model-site\data\[nfl_predict_outcome"&amp;$C14&amp;".csv]nfl_predict_outcome"&amp;$C14&amp;"'!A2"),$B14,L$1)</f>
        <v>2</v>
      </c>
      <c r="M14" cm="1">
        <f t="array" aca="1" ref="M14" ca="1">_xlfn.XLOOKUP($D14&amp;$F14&amp;$E14&amp;$G14,[1]nfl_historical_matchup_data!$B:$B&amp;[1]nfl_historical_matchup_data!$C:$C&amp;[1]nfl_historical_matchup_data!$L:$L&amp;[1]nfl_historical_matchup_data!$E:$E,[1]nfl_historical_matchup_data!$I:$I)</f>
        <v>39</v>
      </c>
      <c r="N14" cm="1">
        <f t="array" aca="1" ref="N14" ca="1">_xlfn.XLOOKUP($D14&amp;$F14&amp;$E14&amp;$G14,[1]nfl_historical_matchup_data!$B:$B&amp;[1]nfl_historical_matchup_data!$C:$C&amp;[1]nfl_historical_matchup_data!$L:$L&amp;[1]nfl_historical_matchup_data!$E:$E,[1]nfl_historical_matchup_data!$J:$J)</f>
        <v>22</v>
      </c>
      <c r="O14" t="str">
        <f t="shared" ca="1" si="4"/>
        <v>GB</v>
      </c>
      <c r="P14" t="str">
        <f t="shared" ca="1" si="5"/>
        <v>MIN</v>
      </c>
      <c r="Q14">
        <f t="shared" ca="1" si="6"/>
        <v>39</v>
      </c>
      <c r="R14">
        <f t="shared" ca="1" si="7"/>
        <v>24</v>
      </c>
      <c r="S14" t="str">
        <f t="shared" ca="1" si="8"/>
        <v>Lose</v>
      </c>
    </row>
    <row r="15" spans="1:25" x14ac:dyDescent="0.35">
      <c r="A15">
        <f t="shared" ca="1" si="1"/>
        <v>16</v>
      </c>
      <c r="B15">
        <f t="shared" si="2"/>
        <v>12</v>
      </c>
      <c r="C15" t="str">
        <f t="shared" si="3"/>
        <v>2026w1p0</v>
      </c>
      <c r="D15">
        <v>2026</v>
      </c>
      <c r="E15">
        <v>0</v>
      </c>
      <c r="F15">
        <v>1</v>
      </c>
      <c r="G15" t="str" cm="1">
        <f t="array" aca="1" ref="G15" ca="1">OFFSET(INDIRECT("'G:\My Drive\nfl-model-site\data\[nfl_predict_outcome"&amp;$C15&amp;".csv]nfl_predict_outcome"&amp;$C15&amp;"'!A2"),$B15,G$1)</f>
        <v>DET</v>
      </c>
      <c r="H15" t="str" cm="1">
        <f t="array" aca="1" ref="H15" ca="1">OFFSET(INDIRECT("'G:\My Drive\nfl-model-site\data\[nfl_predict_outcome"&amp;$C15&amp;".csv]nfl_predict_outcome"&amp;$C15&amp;"'!A2"),$B15,H$1)</f>
        <v>NO</v>
      </c>
      <c r="I15" t="str" cm="1">
        <f t="array" aca="1" ref="I15" ca="1">OFFSET(INDIRECT("'G:\My Drive\nfl-model-site\data\[nfl_predict_outcome"&amp;$C15&amp;".csv]nfl_predict_outcome"&amp;$C15&amp;"'!A2"),$B15,I$1)</f>
        <v>DET</v>
      </c>
      <c r="J15" cm="1">
        <f t="array" aca="1" ref="J15" ca="1">OFFSET(INDIRECT("'G:\My Drive\nfl-model-site\data\[nfl_predict_outcome"&amp;$C15&amp;".csv]nfl_predict_outcome"&amp;$C15&amp;"'!A2"),$B15,J$1)</f>
        <v>-6</v>
      </c>
      <c r="K15" t="str" cm="1">
        <f t="array" aca="1" ref="K15" ca="1">OFFSET(INDIRECT("'G:\My Drive\nfl-model-site\data\[nfl_predict_outcome"&amp;$C15&amp;".csv]nfl_predict_outcome"&amp;$C15&amp;"'!A2"),$B15,K$1)</f>
        <v>with</v>
      </c>
      <c r="L15" cm="1">
        <f t="array" aca="1" ref="L15" ca="1">OFFSET(INDIRECT("'G:\My Drive\nfl-model-site\data\[nfl_predict_outcome"&amp;$C15&amp;".csv]nfl_predict_outcome"&amp;$C15&amp;"'!A2"),$B15,L$1)</f>
        <v>-6.8</v>
      </c>
      <c r="M15" cm="1">
        <f t="array" aca="1" ref="M15" ca="1">_xlfn.XLOOKUP($D15&amp;$F15&amp;$E15&amp;$G15,[1]nfl_historical_matchup_data!$B:$B&amp;[1]nfl_historical_matchup_data!$C:$C&amp;[1]nfl_historical_matchup_data!$L:$L&amp;[1]nfl_historical_matchup_data!$E:$E,[1]nfl_historical_matchup_data!$I:$I)</f>
        <v>31</v>
      </c>
      <c r="N15" cm="1">
        <f t="array" aca="1" ref="N15" ca="1">_xlfn.XLOOKUP($D15&amp;$F15&amp;$E15&amp;$G15,[1]nfl_historical_matchup_data!$B:$B&amp;[1]nfl_historical_matchup_data!$C:$C&amp;[1]nfl_historical_matchup_data!$L:$L&amp;[1]nfl_historical_matchup_data!$E:$E,[1]nfl_historical_matchup_data!$J:$J)</f>
        <v>30</v>
      </c>
      <c r="O15" t="str">
        <f t="shared" ca="1" si="4"/>
        <v>NO</v>
      </c>
      <c r="P15" t="str">
        <f t="shared" ca="1" si="5"/>
        <v>DET</v>
      </c>
      <c r="Q15">
        <f t="shared" ca="1" si="6"/>
        <v>31</v>
      </c>
      <c r="R15">
        <f t="shared" ca="1" si="7"/>
        <v>36.799999999999997</v>
      </c>
      <c r="S15" t="str">
        <f t="shared" ca="1" si="8"/>
        <v>Win</v>
      </c>
    </row>
    <row r="16" spans="1:25" x14ac:dyDescent="0.35">
      <c r="A16">
        <f t="shared" ca="1" si="1"/>
        <v>16</v>
      </c>
      <c r="B16">
        <f t="shared" si="2"/>
        <v>13</v>
      </c>
      <c r="C16" t="str">
        <f t="shared" si="3"/>
        <v>2026w1p0</v>
      </c>
      <c r="D16">
        <v>2026</v>
      </c>
      <c r="E16">
        <v>0</v>
      </c>
      <c r="F16">
        <v>1</v>
      </c>
      <c r="G16" t="str" cm="1">
        <f t="array" aca="1" ref="G16" ca="1">OFFSET(INDIRECT("'G:\My Drive\nfl-model-site\data\[nfl_predict_outcome"&amp;$C16&amp;".csv]nfl_predict_outcome"&amp;$C16&amp;"'!A2"),$B16,G$1)</f>
        <v>CAR</v>
      </c>
      <c r="H16" t="str" cm="1">
        <f t="array" aca="1" ref="H16" ca="1">OFFSET(INDIRECT("'G:\My Drive\nfl-model-site\data\[nfl_predict_outcome"&amp;$C16&amp;".csv]nfl_predict_outcome"&amp;$C16&amp;"'!A2"),$B16,H$1)</f>
        <v>CHI</v>
      </c>
      <c r="I16" t="str" cm="1">
        <f t="array" aca="1" ref="I16" ca="1">OFFSET(INDIRECT("'G:\My Drive\nfl-model-site\data\[nfl_predict_outcome"&amp;$C16&amp;".csv]nfl_predict_outcome"&amp;$C16&amp;"'!A2"),$B16,I$1)</f>
        <v>CHI</v>
      </c>
      <c r="J16" cm="1">
        <f t="array" aca="1" ref="J16" ca="1">OFFSET(INDIRECT("'G:\My Drive\nfl-model-site\data\[nfl_predict_outcome"&amp;$C16&amp;".csv]nfl_predict_outcome"&amp;$C16&amp;"'!A2"),$B16,J$1)</f>
        <v>-2.8</v>
      </c>
      <c r="K16" t="str" cm="1">
        <f t="array" aca="1" ref="K16" ca="1">OFFSET(INDIRECT("'G:\My Drive\nfl-model-site\data\[nfl_predict_outcome"&amp;$C16&amp;".csv]nfl_predict_outcome"&amp;$C16&amp;"'!A2"),$B16,K$1)</f>
        <v>with</v>
      </c>
      <c r="L16" cm="1">
        <f t="array" aca="1" ref="L16" ca="1">OFFSET(INDIRECT("'G:\My Drive\nfl-model-site\data\[nfl_predict_outcome"&amp;$C16&amp;".csv]nfl_predict_outcome"&amp;$C16&amp;"'!A2"),$B16,L$1)</f>
        <v>-3</v>
      </c>
      <c r="M16" cm="1">
        <f t="array" aca="1" ref="M16" ca="1">_xlfn.XLOOKUP($D16&amp;$F16&amp;$E16&amp;$G16,[1]nfl_historical_matchup_data!$B:$B&amp;[1]nfl_historical_matchup_data!$C:$C&amp;[1]nfl_historical_matchup_data!$L:$L&amp;[1]nfl_historical_matchup_data!$E:$E,[1]nfl_historical_matchup_data!$I:$I)</f>
        <v>37</v>
      </c>
      <c r="N16" cm="1">
        <f t="array" aca="1" ref="N16" ca="1">_xlfn.XLOOKUP($D16&amp;$F16&amp;$E16&amp;$G16,[1]nfl_historical_matchup_data!$B:$B&amp;[1]nfl_historical_matchup_data!$C:$C&amp;[1]nfl_historical_matchup_data!$L:$L&amp;[1]nfl_historical_matchup_data!$E:$E,[1]nfl_historical_matchup_data!$J:$J)</f>
        <v>59</v>
      </c>
      <c r="O16" t="str">
        <f t="shared" ca="1" si="4"/>
        <v>CAR</v>
      </c>
      <c r="P16" t="str">
        <f t="shared" ca="1" si="5"/>
        <v>CHI</v>
      </c>
      <c r="Q16">
        <f t="shared" ca="1" si="6"/>
        <v>40</v>
      </c>
      <c r="R16">
        <f t="shared" ca="1" si="7"/>
        <v>59</v>
      </c>
      <c r="S16" t="str">
        <f t="shared" ca="1" si="8"/>
        <v>Lose</v>
      </c>
    </row>
    <row r="17" spans="1:19" x14ac:dyDescent="0.35">
      <c r="A17">
        <f t="shared" ca="1" si="1"/>
        <v>16</v>
      </c>
      <c r="B17">
        <f t="shared" si="2"/>
        <v>14</v>
      </c>
      <c r="C17" t="str">
        <f t="shared" si="3"/>
        <v>2026w1p0</v>
      </c>
      <c r="D17">
        <v>2026</v>
      </c>
      <c r="E17">
        <v>0</v>
      </c>
      <c r="F17">
        <v>1</v>
      </c>
      <c r="G17" t="str" cm="1">
        <f t="array" aca="1" ref="G17" ca="1">OFFSET(INDIRECT("'G:\My Drive\nfl-model-site\data\[nfl_predict_outcome"&amp;$C17&amp;".csv]nfl_predict_outcome"&amp;$C17&amp;"'!A2"),$B17,G$1)</f>
        <v>SEA</v>
      </c>
      <c r="H17" t="str" cm="1">
        <f t="array" aca="1" ref="H17" ca="1">OFFSET(INDIRECT("'G:\My Drive\nfl-model-site\data\[nfl_predict_outcome"&amp;$C17&amp;".csv]nfl_predict_outcome"&amp;$C17&amp;"'!A2"),$B17,H$1)</f>
        <v>NE</v>
      </c>
      <c r="I17" t="str" cm="1">
        <f t="array" aca="1" ref="I17" ca="1">OFFSET(INDIRECT("'G:\My Drive\nfl-model-site\data\[nfl_predict_outcome"&amp;$C17&amp;".csv]nfl_predict_outcome"&amp;$C17&amp;"'!A2"),$B17,I$1)</f>
        <v>NE</v>
      </c>
      <c r="J17" cm="1">
        <f t="array" aca="1" ref="J17" ca="1">OFFSET(INDIRECT("'G:\My Drive\nfl-model-site\data\[nfl_predict_outcome"&amp;$C17&amp;".csv]nfl_predict_outcome"&amp;$C17&amp;"'!A2"),$B17,J$1)</f>
        <v>-1.3</v>
      </c>
      <c r="K17" t="str" cm="1">
        <f t="array" aca="1" ref="K17" ca="1">OFFSET(INDIRECT("'G:\My Drive\nfl-model-site\data\[nfl_predict_outcome"&amp;$C17&amp;".csv]nfl_predict_outcome"&amp;$C17&amp;"'!A2"),$B17,K$1)</f>
        <v>against</v>
      </c>
      <c r="L17" cm="1">
        <f t="array" aca="1" ref="L17" ca="1">OFFSET(INDIRECT("'G:\My Drive\nfl-model-site\data\[nfl_predict_outcome"&amp;$C17&amp;".csv]nfl_predict_outcome"&amp;$C17&amp;"'!A2"),$B17,L$1)</f>
        <v>3.2</v>
      </c>
      <c r="M17" cm="1">
        <f t="array" aca="1" ref="M17" ca="1">_xlfn.XLOOKUP($D17&amp;$F17&amp;$E17&amp;$G17,[1]nfl_historical_matchup_data!$B:$B&amp;[1]nfl_historical_matchup_data!$C:$C&amp;[1]nfl_historical_matchup_data!$L:$L&amp;[1]nfl_historical_matchup_data!$E:$E,[1]nfl_historical_matchup_data!$I:$I)</f>
        <v>13</v>
      </c>
      <c r="N17" cm="1">
        <f t="array" aca="1" ref="N17" ca="1">_xlfn.XLOOKUP($D17&amp;$F17&amp;$E17&amp;$G17,[1]nfl_historical_matchup_data!$B:$B&amp;[1]nfl_historical_matchup_data!$C:$C&amp;[1]nfl_historical_matchup_data!$L:$L&amp;[1]nfl_historical_matchup_data!$E:$E,[1]nfl_historical_matchup_data!$J:$J)</f>
        <v>10</v>
      </c>
      <c r="O17" t="str">
        <f t="shared" ca="1" si="4"/>
        <v>NE</v>
      </c>
      <c r="P17" t="str">
        <f t="shared" ca="1" si="5"/>
        <v>SEA</v>
      </c>
      <c r="Q17">
        <f t="shared" ca="1" si="6"/>
        <v>13</v>
      </c>
      <c r="R17">
        <f t="shared" ca="1" si="7"/>
        <v>13.2</v>
      </c>
      <c r="S17" t="str">
        <f t="shared" ca="1" si="8"/>
        <v>Win</v>
      </c>
    </row>
    <row r="18" spans="1:19" x14ac:dyDescent="0.35">
      <c r="A18">
        <f t="shared" ca="1" si="1"/>
        <v>16</v>
      </c>
      <c r="B18">
        <f t="shared" si="2"/>
        <v>15</v>
      </c>
      <c r="C18" t="str">
        <f t="shared" si="3"/>
        <v>2026w1p0</v>
      </c>
      <c r="D18">
        <v>2026</v>
      </c>
      <c r="E18">
        <v>0</v>
      </c>
      <c r="F18">
        <v>1</v>
      </c>
      <c r="G18" t="str" cm="1">
        <f t="array" aca="1" ref="G18" ca="1">OFFSET(INDIRECT("'G:\My Drive\nfl-model-site\data\[nfl_predict_outcome"&amp;$C18&amp;".csv]nfl_predict_outcome"&amp;$C18&amp;"'!A2"),$B18,G$1)</f>
        <v>LAR</v>
      </c>
      <c r="H18" t="str" cm="1">
        <f t="array" aca="1" ref="H18" ca="1">OFFSET(INDIRECT("'G:\My Drive\nfl-model-site\data\[nfl_predict_outcome"&amp;$C18&amp;".csv]nfl_predict_outcome"&amp;$C18&amp;"'!A2"),$B18,H$1)</f>
        <v>SF</v>
      </c>
      <c r="I18" t="str" cm="1">
        <f t="array" aca="1" ref="I18" ca="1">OFFSET(INDIRECT("'G:\My Drive\nfl-model-site\data\[nfl_predict_outcome"&amp;$C18&amp;".csv]nfl_predict_outcome"&amp;$C18&amp;"'!A2"),$B18,I$1)</f>
        <v>SF</v>
      </c>
      <c r="J18" cm="1">
        <f t="array" aca="1" ref="J18" ca="1">OFFSET(INDIRECT("'G:\My Drive\nfl-model-site\data\[nfl_predict_outcome"&amp;$C18&amp;".csv]nfl_predict_outcome"&amp;$C18&amp;"'!A2"),$B18,J$1)</f>
        <v>-2.2000000000000002</v>
      </c>
      <c r="K18" t="str" cm="1">
        <f t="array" aca="1" ref="K18" ca="1">OFFSET(INDIRECT("'G:\My Drive\nfl-model-site\data\[nfl_predict_outcome"&amp;$C18&amp;".csv]nfl_predict_outcome"&amp;$C18&amp;"'!A2"),$B18,K$1)</f>
        <v>against</v>
      </c>
      <c r="L18" cm="1">
        <f t="array" aca="1" ref="L18" ca="1">OFFSET(INDIRECT("'G:\My Drive\nfl-model-site\data\[nfl_predict_outcome"&amp;$C18&amp;".csv]nfl_predict_outcome"&amp;$C18&amp;"'!A2"),$B18,L$1)</f>
        <v>3.5</v>
      </c>
      <c r="M18" cm="1">
        <f t="array" aca="1" ref="M18" ca="1">_xlfn.XLOOKUP($D18&amp;$F18&amp;$E18&amp;$G18,[1]nfl_historical_matchup_data!$B:$B&amp;[1]nfl_historical_matchup_data!$C:$C&amp;[1]nfl_historical_matchup_data!$L:$L&amp;[1]nfl_historical_matchup_data!$E:$E,[1]nfl_historical_matchup_data!$I:$I)</f>
        <v>7</v>
      </c>
      <c r="N18" cm="1">
        <f t="array" aca="1" ref="N18" ca="1">_xlfn.XLOOKUP($D18&amp;$F18&amp;$E18&amp;$G18,[1]nfl_historical_matchup_data!$B:$B&amp;[1]nfl_historical_matchup_data!$C:$C&amp;[1]nfl_historical_matchup_data!$L:$L&amp;[1]nfl_historical_matchup_data!$E:$E,[1]nfl_historical_matchup_data!$J:$J)</f>
        <v>27</v>
      </c>
      <c r="O18" t="str">
        <f t="shared" ca="1" si="4"/>
        <v>SF</v>
      </c>
      <c r="P18" t="str">
        <f t="shared" ca="1" si="5"/>
        <v>LAR</v>
      </c>
      <c r="Q18">
        <f t="shared" ca="1" si="6"/>
        <v>7</v>
      </c>
      <c r="R18">
        <f t="shared" ca="1" si="7"/>
        <v>30.5</v>
      </c>
      <c r="S18" t="str">
        <f t="shared" ca="1" si="8"/>
        <v>Win</v>
      </c>
    </row>
    <row r="19" spans="1:19" x14ac:dyDescent="0.35">
      <c r="A19">
        <f t="shared" ca="1" si="1"/>
        <v>16</v>
      </c>
      <c r="B19">
        <f t="shared" ref="B19:B34" si="9">IF(C19&lt;&gt;C18,0,B18+1)</f>
        <v>0</v>
      </c>
      <c r="C19" t="str">
        <f t="shared" ref="C19:C34" si="10">D19&amp;"w"&amp;F19&amp;"p"&amp;E19</f>
        <v>2026w2p0</v>
      </c>
      <c r="D19">
        <v>2026</v>
      </c>
      <c r="E19">
        <v>0</v>
      </c>
      <c r="F19">
        <v>2</v>
      </c>
      <c r="G19" t="str" cm="1">
        <f t="array" aca="1" ref="G19" ca="1">OFFSET(INDIRECT("'G:\My Drive\nfl-model-site\data\[nfl_predict_outcome"&amp;$C19&amp;".csv]nfl_predict_outcome"&amp;$C19&amp;"'!A2"),$B19,G$1)</f>
        <v>NE</v>
      </c>
      <c r="H19" t="str" cm="1">
        <f t="array" aca="1" ref="H19" ca="1">OFFSET(INDIRECT("'G:\My Drive\nfl-model-site\data\[nfl_predict_outcome"&amp;$C19&amp;".csv]nfl_predict_outcome"&amp;$C19&amp;"'!A2"),$B19,H$1)</f>
        <v>PIT</v>
      </c>
      <c r="I19" t="str" cm="1">
        <f t="array" aca="1" ref="I19" ca="1">OFFSET(INDIRECT("'G:\My Drive\nfl-model-site\data\[nfl_predict_outcome"&amp;$C19&amp;".csv]nfl_predict_outcome"&amp;$C19&amp;"'!A2"),$B19,I$1)</f>
        <v>NE</v>
      </c>
      <c r="J19" cm="1">
        <f t="array" aca="1" ref="J19" ca="1">OFFSET(INDIRECT("'G:\My Drive\nfl-model-site\data\[nfl_predict_outcome"&amp;$C19&amp;".csv]nfl_predict_outcome"&amp;$C19&amp;"'!A2"),$B19,J$1)</f>
        <v>-4.7</v>
      </c>
      <c r="K19" t="str" cm="1">
        <f t="array" aca="1" ref="K19" ca="1">OFFSET(INDIRECT("'G:\My Drive\nfl-model-site\data\[nfl_predict_outcome"&amp;$C19&amp;".csv]nfl_predict_outcome"&amp;$C19&amp;"'!A2"),$B19,K$1)</f>
        <v>with</v>
      </c>
      <c r="L19" cm="1">
        <f t="array" aca="1" ref="L19" ca="1">OFFSET(INDIRECT("'G:\My Drive\nfl-model-site\data\[nfl_predict_outcome"&amp;$C19&amp;".csv]nfl_predict_outcome"&amp;$C19&amp;"'!A2"),$B19,L$1)</f>
        <v>-5.5</v>
      </c>
      <c r="M19" cm="1">
        <f t="array" aca="1" ref="M19" ca="1">_xlfn.XLOOKUP($D19&amp;$F19&amp;$E19&amp;$G19,[1]nfl_historical_matchup_data!$B:$B&amp;[1]nfl_historical_matchup_data!$C:$C&amp;[1]nfl_historical_matchup_data!$L:$L&amp;[1]nfl_historical_matchup_data!$E:$E,[1]nfl_historical_matchup_data!$I:$I)</f>
        <v>20</v>
      </c>
      <c r="N19" cm="1">
        <f t="array" aca="1" ref="N19" ca="1">_xlfn.XLOOKUP($D19&amp;$F19&amp;$E19&amp;$G19,[1]nfl_historical_matchup_data!$B:$B&amp;[1]nfl_historical_matchup_data!$C:$C&amp;[1]nfl_historical_matchup_data!$L:$L&amp;[1]nfl_historical_matchup_data!$E:$E,[1]nfl_historical_matchup_data!$J:$J)</f>
        <v>3</v>
      </c>
      <c r="O19" t="str">
        <f t="shared" ca="1" si="4"/>
        <v>PIT</v>
      </c>
      <c r="P19" t="str">
        <f t="shared" ca="1" si="5"/>
        <v>NE</v>
      </c>
      <c r="Q19">
        <f t="shared" ca="1" si="6"/>
        <v>20</v>
      </c>
      <c r="R19">
        <f t="shared" ca="1" si="7"/>
        <v>8.5</v>
      </c>
      <c r="S19" t="str">
        <f t="shared" ca="1" si="8"/>
        <v>Lose</v>
      </c>
    </row>
    <row r="20" spans="1:19" x14ac:dyDescent="0.35">
      <c r="A20">
        <f t="shared" ca="1" si="1"/>
        <v>16</v>
      </c>
      <c r="B20">
        <f t="shared" si="9"/>
        <v>1</v>
      </c>
      <c r="C20" t="str">
        <f t="shared" si="10"/>
        <v>2026w2p0</v>
      </c>
      <c r="D20">
        <v>2026</v>
      </c>
      <c r="E20">
        <v>0</v>
      </c>
      <c r="F20">
        <v>2</v>
      </c>
      <c r="G20" t="str" cm="1">
        <f t="array" aca="1" ref="G20" ca="1">OFFSET(INDIRECT("'G:\My Drive\nfl-model-site\data\[nfl_predict_outcome"&amp;$C20&amp;".csv]nfl_predict_outcome"&amp;$C20&amp;"'!A2"),$B20,G$1)</f>
        <v>BUF</v>
      </c>
      <c r="H20" t="str" cm="1">
        <f t="array" aca="1" ref="H20" ca="1">OFFSET(INDIRECT("'G:\My Drive\nfl-model-site\data\[nfl_predict_outcome"&amp;$C20&amp;".csv]nfl_predict_outcome"&amp;$C20&amp;"'!A2"),$B20,H$1)</f>
        <v>DET</v>
      </c>
      <c r="I20" t="str" cm="1">
        <f t="array" aca="1" ref="I20" ca="1">OFFSET(INDIRECT("'G:\My Drive\nfl-model-site\data\[nfl_predict_outcome"&amp;$C20&amp;".csv]nfl_predict_outcome"&amp;$C20&amp;"'!A2"),$B20,I$1)</f>
        <v>BUF</v>
      </c>
      <c r="J20" cm="1">
        <f t="array" aca="1" ref="J20" ca="1">OFFSET(INDIRECT("'G:\My Drive\nfl-model-site\data\[nfl_predict_outcome"&amp;$C20&amp;".csv]nfl_predict_outcome"&amp;$C20&amp;"'!A2"),$B20,J$1)</f>
        <v>-4.4000000000000004</v>
      </c>
      <c r="K20" t="str" cm="1">
        <f t="array" aca="1" ref="K20" ca="1">OFFSET(INDIRECT("'G:\My Drive\nfl-model-site\data\[nfl_predict_outcome"&amp;$C20&amp;".csv]nfl_predict_outcome"&amp;$C20&amp;"'!A2"),$B20,K$1)</f>
        <v>with</v>
      </c>
      <c r="L20" cm="1">
        <f t="array" aca="1" ref="L20" ca="1">OFFSET(INDIRECT("'G:\My Drive\nfl-model-site\data\[nfl_predict_outcome"&amp;$C20&amp;".csv]nfl_predict_outcome"&amp;$C20&amp;"'!A2"),$B20,L$1)</f>
        <v>-5.5</v>
      </c>
      <c r="M20" cm="1">
        <f t="array" aca="1" ref="M20" ca="1">_xlfn.XLOOKUP($D20&amp;$F20&amp;$E20&amp;$G20,[1]nfl_historical_matchup_data!$B:$B&amp;[1]nfl_historical_matchup_data!$C:$C&amp;[1]nfl_historical_matchup_data!$L:$L&amp;[1]nfl_historical_matchup_data!$E:$E,[1]nfl_historical_matchup_data!$I:$I)</f>
        <v>41</v>
      </c>
      <c r="N20" cm="1">
        <f t="array" aca="1" ref="N20" ca="1">_xlfn.XLOOKUP($D20&amp;$F20&amp;$E20&amp;$G20,[1]nfl_historical_matchup_data!$B:$B&amp;[1]nfl_historical_matchup_data!$C:$C&amp;[1]nfl_historical_matchup_data!$L:$L&amp;[1]nfl_historical_matchup_data!$E:$E,[1]nfl_historical_matchup_data!$J:$J)</f>
        <v>31</v>
      </c>
      <c r="O20" t="str">
        <f t="shared" ca="1" si="4"/>
        <v>DET</v>
      </c>
      <c r="P20" t="str">
        <f t="shared" ca="1" si="5"/>
        <v>BUF</v>
      </c>
      <c r="Q20">
        <f t="shared" ca="1" si="6"/>
        <v>41</v>
      </c>
      <c r="R20">
        <f t="shared" ca="1" si="7"/>
        <v>36.5</v>
      </c>
      <c r="S20" t="str">
        <f t="shared" ca="1" si="8"/>
        <v>Lose</v>
      </c>
    </row>
    <row r="21" spans="1:19" x14ac:dyDescent="0.35">
      <c r="A21">
        <f t="shared" ca="1" si="1"/>
        <v>16</v>
      </c>
      <c r="B21">
        <f t="shared" si="9"/>
        <v>2</v>
      </c>
      <c r="C21" t="str">
        <f t="shared" si="10"/>
        <v>2026w2p0</v>
      </c>
      <c r="D21">
        <v>2026</v>
      </c>
      <c r="E21">
        <v>0</v>
      </c>
      <c r="F21">
        <v>2</v>
      </c>
      <c r="G21" t="str" cm="1">
        <f t="array" aca="1" ref="G21" ca="1">OFFSET(INDIRECT("'G:\My Drive\nfl-model-site\data\[nfl_predict_outcome"&amp;$C21&amp;".csv]nfl_predict_outcome"&amp;$C21&amp;"'!A2"),$B21,G$1)</f>
        <v>NYJ</v>
      </c>
      <c r="H21" t="str" cm="1">
        <f t="array" aca="1" ref="H21" ca="1">OFFSET(INDIRECT("'G:\My Drive\nfl-model-site\data\[nfl_predict_outcome"&amp;$C21&amp;".csv]nfl_predict_outcome"&amp;$C21&amp;"'!A2"),$B21,H$1)</f>
        <v>GB</v>
      </c>
      <c r="I21" t="str" cm="1">
        <f t="array" aca="1" ref="I21" ca="1">OFFSET(INDIRECT("'G:\My Drive\nfl-model-site\data\[nfl_predict_outcome"&amp;$C21&amp;".csv]nfl_predict_outcome"&amp;$C21&amp;"'!A2"),$B21,I$1)</f>
        <v>GB</v>
      </c>
      <c r="J21" cm="1">
        <f t="array" aca="1" ref="J21" ca="1">OFFSET(INDIRECT("'G:\My Drive\nfl-model-site\data\[nfl_predict_outcome"&amp;$C21&amp;".csv]nfl_predict_outcome"&amp;$C21&amp;"'!A2"),$B21,J$1)</f>
        <v>-2.2999999999999998</v>
      </c>
      <c r="K21" t="str" cm="1">
        <f t="array" aca="1" ref="K21" ca="1">OFFSET(INDIRECT("'G:\My Drive\nfl-model-site\data\[nfl_predict_outcome"&amp;$C21&amp;".csv]nfl_predict_outcome"&amp;$C21&amp;"'!A2"),$B21,K$1)</f>
        <v>with</v>
      </c>
      <c r="L21" cm="1">
        <f t="array" aca="1" ref="L21" ca="1">OFFSET(INDIRECT("'G:\My Drive\nfl-model-site\data\[nfl_predict_outcome"&amp;$C21&amp;".csv]nfl_predict_outcome"&amp;$C21&amp;"'!A2"),$B21,L$1)</f>
        <v>-3.5</v>
      </c>
      <c r="M21" cm="1">
        <f t="array" aca="1" ref="M21" ca="1">_xlfn.XLOOKUP($D21&amp;$F21&amp;$E21&amp;$G21,[1]nfl_historical_matchup_data!$B:$B&amp;[1]nfl_historical_matchup_data!$C:$C&amp;[1]nfl_historical_matchup_data!$L:$L&amp;[1]nfl_historical_matchup_data!$E:$E,[1]nfl_historical_matchup_data!$I:$I)</f>
        <v>17</v>
      </c>
      <c r="N21" cm="1">
        <f t="array" aca="1" ref="N21" ca="1">_xlfn.XLOOKUP($D21&amp;$F21&amp;$E21&amp;$G21,[1]nfl_historical_matchup_data!$B:$B&amp;[1]nfl_historical_matchup_data!$C:$C&amp;[1]nfl_historical_matchup_data!$L:$L&amp;[1]nfl_historical_matchup_data!$E:$E,[1]nfl_historical_matchup_data!$J:$J)</f>
        <v>20</v>
      </c>
      <c r="O21" t="str">
        <f t="shared" ca="1" si="4"/>
        <v>NYJ</v>
      </c>
      <c r="P21" t="str">
        <f t="shared" ca="1" si="5"/>
        <v>GB</v>
      </c>
      <c r="Q21">
        <f t="shared" ca="1" si="6"/>
        <v>20.5</v>
      </c>
      <c r="R21">
        <f t="shared" ca="1" si="7"/>
        <v>20</v>
      </c>
      <c r="S21" t="str">
        <f t="shared" ca="1" si="8"/>
        <v>Win</v>
      </c>
    </row>
    <row r="22" spans="1:19" x14ac:dyDescent="0.35">
      <c r="A22">
        <f t="shared" ca="1" si="1"/>
        <v>16</v>
      </c>
      <c r="B22">
        <f t="shared" si="9"/>
        <v>3</v>
      </c>
      <c r="C22" t="str">
        <f t="shared" si="10"/>
        <v>2026w2p0</v>
      </c>
      <c r="D22">
        <v>2026</v>
      </c>
      <c r="E22">
        <v>0</v>
      </c>
      <c r="F22">
        <v>2</v>
      </c>
      <c r="G22" t="str" cm="1">
        <f t="array" aca="1" ref="G22" ca="1">OFFSET(INDIRECT("'G:\My Drive\nfl-model-site\data\[nfl_predict_outcome"&amp;$C22&amp;".csv]nfl_predict_outcome"&amp;$C22&amp;"'!A2"),$B22,G$1)</f>
        <v>BAL</v>
      </c>
      <c r="H22" t="str" cm="1">
        <f t="array" aca="1" ref="H22" ca="1">OFFSET(INDIRECT("'G:\My Drive\nfl-model-site\data\[nfl_predict_outcome"&amp;$C22&amp;".csv]nfl_predict_outcome"&amp;$C22&amp;"'!A2"),$B22,H$1)</f>
        <v>NO</v>
      </c>
      <c r="I22" t="str" cm="1">
        <f t="array" aca="1" ref="I22" ca="1">OFFSET(INDIRECT("'G:\My Drive\nfl-model-site\data\[nfl_predict_outcome"&amp;$C22&amp;".csv]nfl_predict_outcome"&amp;$C22&amp;"'!A2"),$B22,I$1)</f>
        <v>BAL</v>
      </c>
      <c r="J22" cm="1">
        <f t="array" aca="1" ref="J22" ca="1">OFFSET(INDIRECT("'G:\My Drive\nfl-model-site\data\[nfl_predict_outcome"&amp;$C22&amp;".csv]nfl_predict_outcome"&amp;$C22&amp;"'!A2"),$B22,J$1)</f>
        <v>-7.8</v>
      </c>
      <c r="K22" t="str" cm="1">
        <f t="array" aca="1" ref="K22" ca="1">OFFSET(INDIRECT("'G:\My Drive\nfl-model-site\data\[nfl_predict_outcome"&amp;$C22&amp;".csv]nfl_predict_outcome"&amp;$C22&amp;"'!A2"),$B22,K$1)</f>
        <v>with</v>
      </c>
      <c r="L22" cm="1">
        <f t="array" aca="1" ref="L22" ca="1">OFFSET(INDIRECT("'G:\My Drive\nfl-model-site\data\[nfl_predict_outcome"&amp;$C22&amp;".csv]nfl_predict_outcome"&amp;$C22&amp;"'!A2"),$B22,L$1)</f>
        <v>-8.5</v>
      </c>
      <c r="M22" cm="1">
        <f t="array" aca="1" ref="M22" ca="1">_xlfn.XLOOKUP($D22&amp;$F22&amp;$E22&amp;$G22,[1]nfl_historical_matchup_data!$B:$B&amp;[1]nfl_historical_matchup_data!$C:$C&amp;[1]nfl_historical_matchup_data!$L:$L&amp;[1]nfl_historical_matchup_data!$E:$E,[1]nfl_historical_matchup_data!$I:$I)</f>
        <v>17</v>
      </c>
      <c r="N22" cm="1">
        <f t="array" aca="1" ref="N22" ca="1">_xlfn.XLOOKUP($D22&amp;$F22&amp;$E22&amp;$G22,[1]nfl_historical_matchup_data!$B:$B&amp;[1]nfl_historical_matchup_data!$C:$C&amp;[1]nfl_historical_matchup_data!$L:$L&amp;[1]nfl_historical_matchup_data!$E:$E,[1]nfl_historical_matchup_data!$J:$J)</f>
        <v>24</v>
      </c>
      <c r="O22" t="str">
        <f t="shared" ca="1" si="4"/>
        <v>NO</v>
      </c>
      <c r="P22" t="str">
        <f t="shared" ca="1" si="5"/>
        <v>BAL</v>
      </c>
      <c r="Q22">
        <f t="shared" ca="1" si="6"/>
        <v>17</v>
      </c>
      <c r="R22">
        <f t="shared" ca="1" si="7"/>
        <v>32.5</v>
      </c>
      <c r="S22" t="str">
        <f t="shared" ca="1" si="8"/>
        <v>Win</v>
      </c>
    </row>
    <row r="23" spans="1:19" x14ac:dyDescent="0.35">
      <c r="A23">
        <f t="shared" ca="1" si="1"/>
        <v>16</v>
      </c>
      <c r="B23">
        <f t="shared" si="9"/>
        <v>4</v>
      </c>
      <c r="C23" t="str">
        <f t="shared" si="10"/>
        <v>2026w2p0</v>
      </c>
      <c r="D23">
        <v>2026</v>
      </c>
      <c r="E23">
        <v>0</v>
      </c>
      <c r="F23">
        <v>2</v>
      </c>
      <c r="G23" t="str" cm="1">
        <f t="array" aca="1" ref="G23" ca="1">OFFSET(INDIRECT("'G:\My Drive\nfl-model-site\data\[nfl_predict_outcome"&amp;$C23&amp;".csv]nfl_predict_outcome"&amp;$C23&amp;"'!A2"),$B23,G$1)</f>
        <v>HOU</v>
      </c>
      <c r="H23" t="str" cm="1">
        <f t="array" aca="1" ref="H23" ca="1">OFFSET(INDIRECT("'G:\My Drive\nfl-model-site\data\[nfl_predict_outcome"&amp;$C23&amp;".csv]nfl_predict_outcome"&amp;$C23&amp;"'!A2"),$B23,H$1)</f>
        <v>CIN</v>
      </c>
      <c r="I23" t="str" cm="1">
        <f t="array" aca="1" ref="I23" ca="1">OFFSET(INDIRECT("'G:\My Drive\nfl-model-site\data\[nfl_predict_outcome"&amp;$C23&amp;".csv]nfl_predict_outcome"&amp;$C23&amp;"'!A2"),$B23,I$1)</f>
        <v>CIN</v>
      </c>
      <c r="J23" cm="1">
        <f t="array" aca="1" ref="J23" ca="1">OFFSET(INDIRECT("'G:\My Drive\nfl-model-site\data\[nfl_predict_outcome"&amp;$C23&amp;".csv]nfl_predict_outcome"&amp;$C23&amp;"'!A2"),$B23,J$1)</f>
        <v>-1.8</v>
      </c>
      <c r="K23" t="str" cm="1">
        <f t="array" aca="1" ref="K23" ca="1">OFFSET(INDIRECT("'G:\My Drive\nfl-model-site\data\[nfl_predict_outcome"&amp;$C23&amp;".csv]nfl_predict_outcome"&amp;$C23&amp;"'!A2"),$B23,K$1)</f>
        <v>against</v>
      </c>
      <c r="L23" cm="1">
        <f t="array" aca="1" ref="L23" ca="1">OFFSET(INDIRECT("'G:\My Drive\nfl-model-site\data\[nfl_predict_outcome"&amp;$C23&amp;".csv]nfl_predict_outcome"&amp;$C23&amp;"'!A2"),$B23,L$1)</f>
        <v>2.7</v>
      </c>
      <c r="M23" cm="1">
        <f t="array" aca="1" ref="M23" ca="1">_xlfn.XLOOKUP($D23&amp;$F23&amp;$E23&amp;$G23,[1]nfl_historical_matchup_data!$B:$B&amp;[1]nfl_historical_matchup_data!$C:$C&amp;[1]nfl_historical_matchup_data!$L:$L&amp;[1]nfl_historical_matchup_data!$E:$E,[1]nfl_historical_matchup_data!$I:$I)</f>
        <v>6</v>
      </c>
      <c r="N23" cm="1">
        <f t="array" aca="1" ref="N23" ca="1">_xlfn.XLOOKUP($D23&amp;$F23&amp;$E23&amp;$G23,[1]nfl_historical_matchup_data!$B:$B&amp;[1]nfl_historical_matchup_data!$C:$C&amp;[1]nfl_historical_matchup_data!$L:$L&amp;[1]nfl_historical_matchup_data!$E:$E,[1]nfl_historical_matchup_data!$J:$J)</f>
        <v>20</v>
      </c>
      <c r="O23" t="str">
        <f t="shared" ca="1" si="4"/>
        <v>CIN</v>
      </c>
      <c r="P23" t="str">
        <f t="shared" ca="1" si="5"/>
        <v>HOU</v>
      </c>
      <c r="Q23">
        <f t="shared" ca="1" si="6"/>
        <v>6</v>
      </c>
      <c r="R23">
        <f t="shared" ca="1" si="7"/>
        <v>22.7</v>
      </c>
      <c r="S23" t="str">
        <f t="shared" ca="1" si="8"/>
        <v>Win</v>
      </c>
    </row>
    <row r="24" spans="1:19" x14ac:dyDescent="0.35">
      <c r="A24">
        <f t="shared" ca="1" si="1"/>
        <v>16</v>
      </c>
      <c r="B24">
        <f t="shared" si="9"/>
        <v>5</v>
      </c>
      <c r="C24" t="str">
        <f t="shared" si="10"/>
        <v>2026w2p0</v>
      </c>
      <c r="D24">
        <v>2026</v>
      </c>
      <c r="E24">
        <v>0</v>
      </c>
      <c r="F24">
        <v>2</v>
      </c>
      <c r="G24" t="str" cm="1">
        <f t="array" aca="1" ref="G24" ca="1">OFFSET(INDIRECT("'G:\My Drive\nfl-model-site\data\[nfl_predict_outcome"&amp;$C24&amp;".csv]nfl_predict_outcome"&amp;$C24&amp;"'!A2"),$B24,G$1)</f>
        <v>TEN</v>
      </c>
      <c r="H24" t="str" cm="1">
        <f t="array" aca="1" ref="H24" ca="1">OFFSET(INDIRECT("'G:\My Drive\nfl-model-site\data\[nfl_predict_outcome"&amp;$C24&amp;".csv]nfl_predict_outcome"&amp;$C24&amp;"'!A2"),$B24,H$1)</f>
        <v>PHI</v>
      </c>
      <c r="I24" t="str" cm="1">
        <f t="array" aca="1" ref="I24" ca="1">OFFSET(INDIRECT("'G:\My Drive\nfl-model-site\data\[nfl_predict_outcome"&amp;$C24&amp;".csv]nfl_predict_outcome"&amp;$C24&amp;"'!A2"),$B24,I$1)</f>
        <v>PHI</v>
      </c>
      <c r="J24" cm="1">
        <f t="array" aca="1" ref="J24" ca="1">OFFSET(INDIRECT("'G:\My Drive\nfl-model-site\data\[nfl_predict_outcome"&amp;$C24&amp;".csv]nfl_predict_outcome"&amp;$C24&amp;"'!A2"),$B24,J$1)</f>
        <v>-4.2</v>
      </c>
      <c r="K24" t="str" cm="1">
        <f t="array" aca="1" ref="K24" ca="1">OFFSET(INDIRECT("'G:\My Drive\nfl-model-site\data\[nfl_predict_outcome"&amp;$C24&amp;".csv]nfl_predict_outcome"&amp;$C24&amp;"'!A2"),$B24,K$1)</f>
        <v>with</v>
      </c>
      <c r="L24" cm="1">
        <f t="array" aca="1" ref="L24" ca="1">OFFSET(INDIRECT("'G:\My Drive\nfl-model-site\data\[nfl_predict_outcome"&amp;$C24&amp;".csv]nfl_predict_outcome"&amp;$C24&amp;"'!A2"),$B24,L$1)</f>
        <v>-7</v>
      </c>
      <c r="M24" cm="1">
        <f t="array" aca="1" ref="M24" ca="1">_xlfn.XLOOKUP($D24&amp;$F24&amp;$E24&amp;$G24,[1]nfl_historical_matchup_data!$B:$B&amp;[1]nfl_historical_matchup_data!$C:$C&amp;[1]nfl_historical_matchup_data!$L:$L&amp;[1]nfl_historical_matchup_data!$E:$E,[1]nfl_historical_matchup_data!$I:$I)</f>
        <v>20</v>
      </c>
      <c r="N24" cm="1">
        <f t="array" aca="1" ref="N24" ca="1">_xlfn.XLOOKUP($D24&amp;$F24&amp;$E24&amp;$G24,[1]nfl_historical_matchup_data!$B:$B&amp;[1]nfl_historical_matchup_data!$C:$C&amp;[1]nfl_historical_matchup_data!$L:$L&amp;[1]nfl_historical_matchup_data!$E:$E,[1]nfl_historical_matchup_data!$J:$J)</f>
        <v>24</v>
      </c>
      <c r="O24" t="str">
        <f t="shared" ca="1" si="4"/>
        <v>TEN</v>
      </c>
      <c r="P24" t="str">
        <f t="shared" ca="1" si="5"/>
        <v>PHI</v>
      </c>
      <c r="Q24">
        <f t="shared" ca="1" si="6"/>
        <v>27</v>
      </c>
      <c r="R24">
        <f t="shared" ca="1" si="7"/>
        <v>24</v>
      </c>
      <c r="S24" t="str">
        <f t="shared" ca="1" si="8"/>
        <v>Win</v>
      </c>
    </row>
    <row r="25" spans="1:19" x14ac:dyDescent="0.35">
      <c r="A25">
        <f t="shared" ca="1" si="1"/>
        <v>16</v>
      </c>
      <c r="B25">
        <f t="shared" si="9"/>
        <v>6</v>
      </c>
      <c r="C25" t="str">
        <f t="shared" si="10"/>
        <v>2026w2p0</v>
      </c>
      <c r="D25">
        <v>2026</v>
      </c>
      <c r="E25">
        <v>0</v>
      </c>
      <c r="F25">
        <v>2</v>
      </c>
      <c r="G25" t="str" cm="1">
        <f t="array" aca="1" ref="G25" ca="1">OFFSET(INDIRECT("'G:\My Drive\nfl-model-site\data\[nfl_predict_outcome"&amp;$C25&amp;".csv]nfl_predict_outcome"&amp;$C25&amp;"'!A2"),$B25,G$1)</f>
        <v>KC</v>
      </c>
      <c r="H25" t="str" cm="1">
        <f t="array" aca="1" ref="H25" ca="1">OFFSET(INDIRECT("'G:\My Drive\nfl-model-site\data\[nfl_predict_outcome"&amp;$C25&amp;".csv]nfl_predict_outcome"&amp;$C25&amp;"'!A2"),$B25,H$1)</f>
        <v>IND</v>
      </c>
      <c r="I25" t="str" cm="1">
        <f t="array" aca="1" ref="I25" ca="1">OFFSET(INDIRECT("'G:\My Drive\nfl-model-site\data\[nfl_predict_outcome"&amp;$C25&amp;".csv]nfl_predict_outcome"&amp;$C25&amp;"'!A2"),$B25,I$1)</f>
        <v>KC</v>
      </c>
      <c r="J25" cm="1">
        <f t="array" aca="1" ref="J25" ca="1">OFFSET(INDIRECT("'G:\My Drive\nfl-model-site\data\[nfl_predict_outcome"&amp;$C25&amp;".csv]nfl_predict_outcome"&amp;$C25&amp;"'!A2"),$B25,J$1)</f>
        <v>-4</v>
      </c>
      <c r="K25" t="str" cm="1">
        <f t="array" aca="1" ref="K25" ca="1">OFFSET(INDIRECT("'G:\My Drive\nfl-model-site\data\[nfl_predict_outcome"&amp;$C25&amp;".csv]nfl_predict_outcome"&amp;$C25&amp;"'!A2"),$B25,K$1)</f>
        <v>with</v>
      </c>
      <c r="L25" cm="1">
        <f t="array" aca="1" ref="L25" ca="1">OFFSET(INDIRECT("'G:\My Drive\nfl-model-site\data\[nfl_predict_outcome"&amp;$C25&amp;".csv]nfl_predict_outcome"&amp;$C25&amp;"'!A2"),$B25,L$1)</f>
        <v>-6.2</v>
      </c>
      <c r="M25" cm="1">
        <f t="array" aca="1" ref="M25" ca="1">_xlfn.XLOOKUP($D25&amp;$F25&amp;$E25&amp;$G25,[1]nfl_historical_matchup_data!$B:$B&amp;[1]nfl_historical_matchup_data!$C:$C&amp;[1]nfl_historical_matchup_data!$L:$L&amp;[1]nfl_historical_matchup_data!$E:$E,[1]nfl_historical_matchup_data!$I:$I)</f>
        <v>33</v>
      </c>
      <c r="N25" cm="1">
        <f t="array" aca="1" ref="N25" ca="1">_xlfn.XLOOKUP($D25&amp;$F25&amp;$E25&amp;$G25,[1]nfl_historical_matchup_data!$B:$B&amp;[1]nfl_historical_matchup_data!$C:$C&amp;[1]nfl_historical_matchup_data!$L:$L&amp;[1]nfl_historical_matchup_data!$E:$E,[1]nfl_historical_matchup_data!$J:$J)</f>
        <v>30</v>
      </c>
      <c r="O25" t="str">
        <f t="shared" ca="1" si="4"/>
        <v>IND</v>
      </c>
      <c r="P25" t="str">
        <f t="shared" ca="1" si="5"/>
        <v>KC</v>
      </c>
      <c r="Q25">
        <f t="shared" ca="1" si="6"/>
        <v>33</v>
      </c>
      <c r="R25">
        <f t="shared" ca="1" si="7"/>
        <v>36.200000000000003</v>
      </c>
      <c r="S25" t="str">
        <f t="shared" ca="1" si="8"/>
        <v>Win</v>
      </c>
    </row>
    <row r="26" spans="1:19" x14ac:dyDescent="0.35">
      <c r="A26">
        <f t="shared" ca="1" si="1"/>
        <v>16</v>
      </c>
      <c r="B26">
        <f t="shared" si="9"/>
        <v>7</v>
      </c>
      <c r="C26" t="str">
        <f t="shared" si="10"/>
        <v>2026w2p0</v>
      </c>
      <c r="D26">
        <v>2026</v>
      </c>
      <c r="E26">
        <v>0</v>
      </c>
      <c r="F26">
        <v>2</v>
      </c>
      <c r="G26" t="str" cm="1">
        <f t="array" aca="1" ref="G26" ca="1">OFFSET(INDIRECT("'G:\My Drive\nfl-model-site\data\[nfl_predict_outcome"&amp;$C26&amp;".csv]nfl_predict_outcome"&amp;$C26&amp;"'!A2"),$B26,G$1)</f>
        <v>DEN</v>
      </c>
      <c r="H26" t="str" cm="1">
        <f t="array" aca="1" ref="H26" ca="1">OFFSET(INDIRECT("'G:\My Drive\nfl-model-site\data\[nfl_predict_outcome"&amp;$C26&amp;".csv]nfl_predict_outcome"&amp;$C26&amp;"'!A2"),$B26,H$1)</f>
        <v>JAX</v>
      </c>
      <c r="I26" t="str" cm="1">
        <f t="array" aca="1" ref="I26" ca="1">OFFSET(INDIRECT("'G:\My Drive\nfl-model-site\data\[nfl_predict_outcome"&amp;$C26&amp;".csv]nfl_predict_outcome"&amp;$C26&amp;"'!A2"),$B26,I$1)</f>
        <v>JAX</v>
      </c>
      <c r="J26" cm="1">
        <f t="array" aca="1" ref="J26" ca="1">OFFSET(INDIRECT("'G:\My Drive\nfl-model-site\data\[nfl_predict_outcome"&amp;$C26&amp;".csv]nfl_predict_outcome"&amp;$C26&amp;"'!A2"),$B26,J$1)</f>
        <v>-5</v>
      </c>
      <c r="K26" t="str" cm="1">
        <f t="array" aca="1" ref="K26" ca="1">OFFSET(INDIRECT("'G:\My Drive\nfl-model-site\data\[nfl_predict_outcome"&amp;$C26&amp;".csv]nfl_predict_outcome"&amp;$C26&amp;"'!A2"),$B26,K$1)</f>
        <v>against</v>
      </c>
      <c r="L26" cm="1">
        <f t="array" aca="1" ref="L26" ca="1">OFFSET(INDIRECT("'G:\My Drive\nfl-model-site\data\[nfl_predict_outcome"&amp;$C26&amp;".csv]nfl_predict_outcome"&amp;$C26&amp;"'!A2"),$B26,L$1)</f>
        <v>2.5</v>
      </c>
      <c r="M26" cm="1">
        <f t="array" aca="1" ref="M26" ca="1">_xlfn.XLOOKUP($D26&amp;$F26&amp;$E26&amp;$G26,[1]nfl_historical_matchup_data!$B:$B&amp;[1]nfl_historical_matchup_data!$C:$C&amp;[1]nfl_historical_matchup_data!$L:$L&amp;[1]nfl_historical_matchup_data!$E:$E,[1]nfl_historical_matchup_data!$I:$I)</f>
        <v>20</v>
      </c>
      <c r="N26" cm="1">
        <f t="array" aca="1" ref="N26" ca="1">_xlfn.XLOOKUP($D26&amp;$F26&amp;$E26&amp;$G26,[1]nfl_historical_matchup_data!$B:$B&amp;[1]nfl_historical_matchup_data!$C:$C&amp;[1]nfl_historical_matchup_data!$L:$L&amp;[1]nfl_historical_matchup_data!$E:$E,[1]nfl_historical_matchup_data!$J:$J)</f>
        <v>13</v>
      </c>
      <c r="O26" t="str">
        <f t="shared" ca="1" si="4"/>
        <v>JAX</v>
      </c>
      <c r="P26" t="str">
        <f t="shared" ca="1" si="5"/>
        <v>DEN</v>
      </c>
      <c r="Q26">
        <f t="shared" ca="1" si="6"/>
        <v>20</v>
      </c>
      <c r="R26">
        <f t="shared" ca="1" si="7"/>
        <v>15.5</v>
      </c>
      <c r="S26" t="str">
        <f t="shared" ca="1" si="8"/>
        <v>Lose</v>
      </c>
    </row>
    <row r="27" spans="1:19" x14ac:dyDescent="0.35">
      <c r="A27">
        <f t="shared" ca="1" si="1"/>
        <v>16</v>
      </c>
      <c r="B27">
        <f t="shared" si="9"/>
        <v>8</v>
      </c>
      <c r="C27" t="str">
        <f t="shared" si="10"/>
        <v>2026w2p0</v>
      </c>
      <c r="D27">
        <v>2026</v>
      </c>
      <c r="E27">
        <v>0</v>
      </c>
      <c r="F27">
        <v>2</v>
      </c>
      <c r="G27" t="str" cm="1">
        <f t="array" aca="1" ref="G27" ca="1">OFFSET(INDIRECT("'G:\My Drive\nfl-model-site\data\[nfl_predict_outcome"&amp;$C27&amp;".csv]nfl_predict_outcome"&amp;$C27&amp;"'!A2"),$B27,G$1)</f>
        <v>LAC</v>
      </c>
      <c r="H27" t="str" cm="1">
        <f t="array" aca="1" ref="H27" ca="1">OFFSET(INDIRECT("'G:\My Drive\nfl-model-site\data\[nfl_predict_outcome"&amp;$C27&amp;".csv]nfl_predict_outcome"&amp;$C27&amp;"'!A2"),$B27,H$1)</f>
        <v>LV</v>
      </c>
      <c r="I27" t="str" cm="1">
        <f t="array" aca="1" ref="I27" ca="1">OFFSET(INDIRECT("'G:\My Drive\nfl-model-site\data\[nfl_predict_outcome"&amp;$C27&amp;".csv]nfl_predict_outcome"&amp;$C27&amp;"'!A2"),$B27,I$1)</f>
        <v>LAC</v>
      </c>
      <c r="J27" cm="1">
        <f t="array" aca="1" ref="J27" ca="1">OFFSET(INDIRECT("'G:\My Drive\nfl-model-site\data\[nfl_predict_outcome"&amp;$C27&amp;".csv]nfl_predict_outcome"&amp;$C27&amp;"'!A2"),$B27,J$1)</f>
        <v>-2.6</v>
      </c>
      <c r="K27" t="str" cm="1">
        <f t="array" aca="1" ref="K27" ca="1">OFFSET(INDIRECT("'G:\My Drive\nfl-model-site\data\[nfl_predict_outcome"&amp;$C27&amp;".csv]nfl_predict_outcome"&amp;$C27&amp;"'!A2"),$B27,K$1)</f>
        <v>with</v>
      </c>
      <c r="L27" cm="1">
        <f t="array" aca="1" ref="L27" ca="1">OFFSET(INDIRECT("'G:\My Drive\nfl-model-site\data\[nfl_predict_outcome"&amp;$C27&amp;".csv]nfl_predict_outcome"&amp;$C27&amp;"'!A2"),$B27,L$1)</f>
        <v>-6.5</v>
      </c>
      <c r="M27" cm="1">
        <f t="array" aca="1" ref="M27" ca="1">_xlfn.XLOOKUP($D27&amp;$F27&amp;$E27&amp;$G27,[1]nfl_historical_matchup_data!$B:$B&amp;[1]nfl_historical_matchup_data!$C:$C&amp;[1]nfl_historical_matchup_data!$L:$L&amp;[1]nfl_historical_matchup_data!$E:$E,[1]nfl_historical_matchup_data!$I:$I)</f>
        <v>14</v>
      </c>
      <c r="N27" cm="1">
        <f t="array" aca="1" ref="N27" ca="1">_xlfn.XLOOKUP($D27&amp;$F27&amp;$E27&amp;$G27,[1]nfl_historical_matchup_data!$B:$B&amp;[1]nfl_historical_matchup_data!$C:$C&amp;[1]nfl_historical_matchup_data!$L:$L&amp;[1]nfl_historical_matchup_data!$E:$E,[1]nfl_historical_matchup_data!$J:$J)</f>
        <v>26</v>
      </c>
      <c r="O27" t="str">
        <f t="shared" ca="1" si="4"/>
        <v>LV</v>
      </c>
      <c r="P27" t="str">
        <f t="shared" ca="1" si="5"/>
        <v>LAC</v>
      </c>
      <c r="Q27">
        <f t="shared" ca="1" si="6"/>
        <v>14</v>
      </c>
      <c r="R27">
        <f t="shared" ca="1" si="7"/>
        <v>32.5</v>
      </c>
      <c r="S27" t="str">
        <f t="shared" ca="1" si="8"/>
        <v>Win</v>
      </c>
    </row>
    <row r="28" spans="1:19" x14ac:dyDescent="0.35">
      <c r="A28">
        <f t="shared" ca="1" si="1"/>
        <v>16</v>
      </c>
      <c r="B28">
        <f t="shared" si="9"/>
        <v>9</v>
      </c>
      <c r="C28" t="str">
        <f t="shared" si="10"/>
        <v>2026w2p0</v>
      </c>
      <c r="D28">
        <v>2026</v>
      </c>
      <c r="E28">
        <v>0</v>
      </c>
      <c r="F28">
        <v>2</v>
      </c>
      <c r="G28" t="str" cm="1">
        <f t="array" aca="1" ref="G28" ca="1">OFFSET(INDIRECT("'G:\My Drive\nfl-model-site\data\[nfl_predict_outcome"&amp;$C28&amp;".csv]nfl_predict_outcome"&amp;$C28&amp;"'!A2"),$B28,G$1)</f>
        <v>DAL</v>
      </c>
      <c r="H28" t="str" cm="1">
        <f t="array" aca="1" ref="H28" ca="1">OFFSET(INDIRECT("'G:\My Drive\nfl-model-site\data\[nfl_predict_outcome"&amp;$C28&amp;".csv]nfl_predict_outcome"&amp;$C28&amp;"'!A2"),$B28,H$1)</f>
        <v>WSH</v>
      </c>
      <c r="I28" t="str" cm="1">
        <f t="array" aca="1" ref="I28" ca="1">OFFSET(INDIRECT("'G:\My Drive\nfl-model-site\data\[nfl_predict_outcome"&amp;$C28&amp;".csv]nfl_predict_outcome"&amp;$C28&amp;"'!A2"),$B28,I$1)</f>
        <v>DAL</v>
      </c>
      <c r="J28" cm="1">
        <f t="array" aca="1" ref="J28" ca="1">OFFSET(INDIRECT("'G:\My Drive\nfl-model-site\data\[nfl_predict_outcome"&amp;$C28&amp;".csv]nfl_predict_outcome"&amp;$C28&amp;"'!A2"),$B28,J$1)</f>
        <v>-4.7</v>
      </c>
      <c r="K28" t="str" cm="1">
        <f t="array" aca="1" ref="K28" ca="1">OFFSET(INDIRECT("'G:\My Drive\nfl-model-site\data\[nfl_predict_outcome"&amp;$C28&amp;".csv]nfl_predict_outcome"&amp;$C28&amp;"'!A2"),$B28,K$1)</f>
        <v>with</v>
      </c>
      <c r="L28" cm="1">
        <f t="array" aca="1" ref="L28" ca="1">OFFSET(INDIRECT("'G:\My Drive\nfl-model-site\data\[nfl_predict_outcome"&amp;$C28&amp;".csv]nfl_predict_outcome"&amp;$C28&amp;"'!A2"),$B28,L$1)</f>
        <v>-4</v>
      </c>
      <c r="M28" cm="1">
        <f t="array" aca="1" ref="M28" ca="1">_xlfn.XLOOKUP($D28&amp;$F28&amp;$E28&amp;$G28,[1]nfl_historical_matchup_data!$B:$B&amp;[1]nfl_historical_matchup_data!$C:$C&amp;[1]nfl_historical_matchup_data!$L:$L&amp;[1]nfl_historical_matchup_data!$E:$E,[1]nfl_historical_matchup_data!$I:$I)</f>
        <v>37</v>
      </c>
      <c r="N28" cm="1">
        <f t="array" aca="1" ref="N28" ca="1">_xlfn.XLOOKUP($D28&amp;$F28&amp;$E28&amp;$G28,[1]nfl_historical_matchup_data!$B:$B&amp;[1]nfl_historical_matchup_data!$C:$C&amp;[1]nfl_historical_matchup_data!$L:$L&amp;[1]nfl_historical_matchup_data!$E:$E,[1]nfl_historical_matchup_data!$J:$J)</f>
        <v>20</v>
      </c>
      <c r="O28" t="str">
        <f t="shared" ca="1" si="4"/>
        <v>DAL</v>
      </c>
      <c r="P28" t="str">
        <f t="shared" ca="1" si="5"/>
        <v>DAL</v>
      </c>
      <c r="Q28">
        <f t="shared" ca="1" si="6"/>
        <v>37</v>
      </c>
      <c r="R28">
        <f t="shared" ca="1" si="7"/>
        <v>24</v>
      </c>
      <c r="S28" t="str">
        <f t="shared" ca="1" si="8"/>
        <v>Win</v>
      </c>
    </row>
    <row r="29" spans="1:19" x14ac:dyDescent="0.35">
      <c r="A29">
        <f t="shared" ca="1" si="1"/>
        <v>16</v>
      </c>
      <c r="B29">
        <f t="shared" si="9"/>
        <v>10</v>
      </c>
      <c r="C29" t="str">
        <f t="shared" si="10"/>
        <v>2026w2p0</v>
      </c>
      <c r="D29">
        <v>2026</v>
      </c>
      <c r="E29">
        <v>0</v>
      </c>
      <c r="F29">
        <v>2</v>
      </c>
      <c r="G29" t="str" cm="1">
        <f t="array" aca="1" ref="G29" ca="1">OFFSET(INDIRECT("'G:\My Drive\nfl-model-site\data\[nfl_predict_outcome"&amp;$C29&amp;".csv]nfl_predict_outcome"&amp;$C29&amp;"'!A2"),$B29,G$1)</f>
        <v>CHI</v>
      </c>
      <c r="H29" t="str" cm="1">
        <f t="array" aca="1" ref="H29" ca="1">OFFSET(INDIRECT("'G:\My Drive\nfl-model-site\data\[nfl_predict_outcome"&amp;$C29&amp;".csv]nfl_predict_outcome"&amp;$C29&amp;"'!A2"),$B29,H$1)</f>
        <v>MIN</v>
      </c>
      <c r="I29" t="str" cm="1">
        <f t="array" aca="1" ref="I29" ca="1">OFFSET(INDIRECT("'G:\My Drive\nfl-model-site\data\[nfl_predict_outcome"&amp;$C29&amp;".csv]nfl_predict_outcome"&amp;$C29&amp;"'!A2"),$B29,I$1)</f>
        <v>CHI</v>
      </c>
      <c r="J29" cm="1">
        <f t="array" aca="1" ref="J29" ca="1">OFFSET(INDIRECT("'G:\My Drive\nfl-model-site\data\[nfl_predict_outcome"&amp;$C29&amp;".csv]nfl_predict_outcome"&amp;$C29&amp;"'!A2"),$B29,J$1)</f>
        <v>-2.4</v>
      </c>
      <c r="K29" t="str" cm="1">
        <f t="array" aca="1" ref="K29" ca="1">OFFSET(INDIRECT("'G:\My Drive\nfl-model-site\data\[nfl_predict_outcome"&amp;$C29&amp;".csv]nfl_predict_outcome"&amp;$C29&amp;"'!A2"),$B29,K$1)</f>
        <v>with</v>
      </c>
      <c r="L29" cm="1">
        <f t="array" aca="1" ref="L29" ca="1">OFFSET(INDIRECT("'G:\My Drive\nfl-model-site\data\[nfl_predict_outcome"&amp;$C29&amp;".csv]nfl_predict_outcome"&amp;$C29&amp;"'!A2"),$B29,L$1)</f>
        <v>-4.5</v>
      </c>
      <c r="M29" cm="1">
        <f t="array" aca="1" ref="M29" ca="1">_xlfn.XLOOKUP($D29&amp;$F29&amp;$E29&amp;$G29,[1]nfl_historical_matchup_data!$B:$B&amp;[1]nfl_historical_matchup_data!$C:$C&amp;[1]nfl_historical_matchup_data!$L:$L&amp;[1]nfl_historical_matchup_data!$E:$E,[1]nfl_historical_matchup_data!$I:$I)</f>
        <v>3</v>
      </c>
      <c r="N29" cm="1">
        <f t="array" aca="1" ref="N29" ca="1">_xlfn.XLOOKUP($D29&amp;$F29&amp;$E29&amp;$G29,[1]nfl_historical_matchup_data!$B:$B&amp;[1]nfl_historical_matchup_data!$C:$C&amp;[1]nfl_historical_matchup_data!$L:$L&amp;[1]nfl_historical_matchup_data!$E:$E,[1]nfl_historical_matchup_data!$J:$J)</f>
        <v>9</v>
      </c>
      <c r="O29" t="str">
        <f t="shared" ca="1" si="4"/>
        <v>MIN</v>
      </c>
      <c r="P29" t="str">
        <f t="shared" ca="1" si="5"/>
        <v>CHI</v>
      </c>
      <c r="Q29">
        <f t="shared" ca="1" si="6"/>
        <v>3</v>
      </c>
      <c r="R29">
        <f t="shared" ca="1" si="7"/>
        <v>13.5</v>
      </c>
      <c r="S29" t="str">
        <f t="shared" ca="1" si="8"/>
        <v>Win</v>
      </c>
    </row>
    <row r="30" spans="1:19" x14ac:dyDescent="0.35">
      <c r="A30">
        <f t="shared" ca="1" si="1"/>
        <v>16</v>
      </c>
      <c r="B30">
        <f t="shared" si="9"/>
        <v>11</v>
      </c>
      <c r="C30" t="str">
        <f t="shared" si="10"/>
        <v>2026w2p0</v>
      </c>
      <c r="D30">
        <v>2026</v>
      </c>
      <c r="E30">
        <v>0</v>
      </c>
      <c r="F30">
        <v>2</v>
      </c>
      <c r="G30" t="str" cm="1">
        <f t="array" aca="1" ref="G30" ca="1">OFFSET(INDIRECT("'G:\My Drive\nfl-model-site\data\[nfl_predict_outcome"&amp;$C30&amp;".csv]nfl_predict_outcome"&amp;$C30&amp;"'!A2"),$B30,G$1)</f>
        <v>ATL</v>
      </c>
      <c r="H30" t="str" cm="1">
        <f t="array" aca="1" ref="H30" ca="1">OFFSET(INDIRECT("'G:\My Drive\nfl-model-site\data\[nfl_predict_outcome"&amp;$C30&amp;".csv]nfl_predict_outcome"&amp;$C30&amp;"'!A2"),$B30,H$1)</f>
        <v>CAR</v>
      </c>
      <c r="I30" t="str" cm="1">
        <f t="array" aca="1" ref="I30" ca="1">OFFSET(INDIRECT("'G:\My Drive\nfl-model-site\data\[nfl_predict_outcome"&amp;$C30&amp;".csv]nfl_predict_outcome"&amp;$C30&amp;"'!A2"),$B30,I$1)</f>
        <v>CAR</v>
      </c>
      <c r="J30" cm="1">
        <f t="array" aca="1" ref="J30" ca="1">OFFSET(INDIRECT("'G:\My Drive\nfl-model-site\data\[nfl_predict_outcome"&amp;$C30&amp;".csv]nfl_predict_outcome"&amp;$C30&amp;"'!A2"),$B30,J$1)</f>
        <v>-3.1</v>
      </c>
      <c r="K30" t="str" cm="1">
        <f t="array" aca="1" ref="K30" ca="1">OFFSET(INDIRECT("'G:\My Drive\nfl-model-site\data\[nfl_predict_outcome"&amp;$C30&amp;".csv]nfl_predict_outcome"&amp;$C30&amp;"'!A2"),$B30,K$1)</f>
        <v>with</v>
      </c>
      <c r="L30" cm="1">
        <f t="array" aca="1" ref="L30" ca="1">OFFSET(INDIRECT("'G:\My Drive\nfl-model-site\data\[nfl_predict_outcome"&amp;$C30&amp;".csv]nfl_predict_outcome"&amp;$C30&amp;"'!A2"),$B30,L$1)</f>
        <v>-2.5</v>
      </c>
      <c r="M30" cm="1">
        <f t="array" aca="1" ref="M30" ca="1">_xlfn.XLOOKUP($D30&amp;$F30&amp;$E30&amp;$G30,[1]nfl_historical_matchup_data!$B:$B&amp;[1]nfl_historical_matchup_data!$C:$C&amp;[1]nfl_historical_matchup_data!$L:$L&amp;[1]nfl_historical_matchup_data!$E:$E,[1]nfl_historical_matchup_data!$I:$I)</f>
        <v>3</v>
      </c>
      <c r="N30" cm="1">
        <f t="array" aca="1" ref="N30" ca="1">_xlfn.XLOOKUP($D30&amp;$F30&amp;$E30&amp;$G30,[1]nfl_historical_matchup_data!$B:$B&amp;[1]nfl_historical_matchup_data!$C:$C&amp;[1]nfl_historical_matchup_data!$L:$L&amp;[1]nfl_historical_matchup_data!$E:$E,[1]nfl_historical_matchup_data!$J:$J)</f>
        <v>34</v>
      </c>
      <c r="O30" t="str">
        <f t="shared" ca="1" si="4"/>
        <v>CAR</v>
      </c>
      <c r="P30" t="str">
        <f t="shared" ca="1" si="5"/>
        <v>CAR</v>
      </c>
      <c r="Q30">
        <f t="shared" ca="1" si="6"/>
        <v>5.5</v>
      </c>
      <c r="R30">
        <f t="shared" ca="1" si="7"/>
        <v>34</v>
      </c>
      <c r="S30" t="str">
        <f t="shared" ca="1" si="8"/>
        <v>Win</v>
      </c>
    </row>
    <row r="31" spans="1:19" x14ac:dyDescent="0.35">
      <c r="A31">
        <f t="shared" ca="1" si="1"/>
        <v>16</v>
      </c>
      <c r="B31">
        <f t="shared" si="9"/>
        <v>12</v>
      </c>
      <c r="C31" t="str">
        <f t="shared" si="10"/>
        <v>2026w2p0</v>
      </c>
      <c r="D31">
        <v>2026</v>
      </c>
      <c r="E31">
        <v>0</v>
      </c>
      <c r="F31">
        <v>2</v>
      </c>
      <c r="G31" t="str" cm="1">
        <f t="array" aca="1" ref="G31" ca="1">OFFSET(INDIRECT("'G:\My Drive\nfl-model-site\data\[nfl_predict_outcome"&amp;$C31&amp;".csv]nfl_predict_outcome"&amp;$C31&amp;"'!A2"),$B31,G$1)</f>
        <v>TB</v>
      </c>
      <c r="H31" t="str" cm="1">
        <f t="array" aca="1" ref="H31" ca="1">OFFSET(INDIRECT("'G:\My Drive\nfl-model-site\data\[nfl_predict_outcome"&amp;$C31&amp;".csv]nfl_predict_outcome"&amp;$C31&amp;"'!A2"),$B31,H$1)</f>
        <v>CLE</v>
      </c>
      <c r="I31" t="str" cm="1">
        <f t="array" aca="1" ref="I31" ca="1">OFFSET(INDIRECT("'G:\My Drive\nfl-model-site\data\[nfl_predict_outcome"&amp;$C31&amp;".csv]nfl_predict_outcome"&amp;$C31&amp;"'!A2"),$B31,I$1)</f>
        <v>TB</v>
      </c>
      <c r="J31" cm="1">
        <f t="array" aca="1" ref="J31" ca="1">OFFSET(INDIRECT("'G:\My Drive\nfl-model-site\data\[nfl_predict_outcome"&amp;$C31&amp;".csv]nfl_predict_outcome"&amp;$C31&amp;"'!A2"),$B31,J$1)</f>
        <v>-3.8</v>
      </c>
      <c r="K31" t="str" cm="1">
        <f t="array" aca="1" ref="K31" ca="1">OFFSET(INDIRECT("'G:\My Drive\nfl-model-site\data\[nfl_predict_outcome"&amp;$C31&amp;".csv]nfl_predict_outcome"&amp;$C31&amp;"'!A2"),$B31,K$1)</f>
        <v>with</v>
      </c>
      <c r="L31" cm="1">
        <f t="array" aca="1" ref="L31" ca="1">OFFSET(INDIRECT("'G:\My Drive\nfl-model-site\data\[nfl_predict_outcome"&amp;$C31&amp;".csv]nfl_predict_outcome"&amp;$C31&amp;"'!A2"),$B31,L$1)</f>
        <v>-8.3000000000000007</v>
      </c>
      <c r="M31" cm="1">
        <f t="array" aca="1" ref="M31" ca="1">_xlfn.XLOOKUP($D31&amp;$F31&amp;$E31&amp;$G31,[1]nfl_historical_matchup_data!$B:$B&amp;[1]nfl_historical_matchup_data!$C:$C&amp;[1]nfl_historical_matchup_data!$L:$L&amp;[1]nfl_historical_matchup_data!$E:$E,[1]nfl_historical_matchup_data!$I:$I)</f>
        <v>19</v>
      </c>
      <c r="N31" cm="1">
        <f t="array" aca="1" ref="N31" ca="1">_xlfn.XLOOKUP($D31&amp;$F31&amp;$E31&amp;$G31,[1]nfl_historical_matchup_data!$B:$B&amp;[1]nfl_historical_matchup_data!$C:$C&amp;[1]nfl_historical_matchup_data!$L:$L&amp;[1]nfl_historical_matchup_data!$E:$E,[1]nfl_historical_matchup_data!$J:$J)</f>
        <v>23</v>
      </c>
      <c r="O31" t="str">
        <f t="shared" ca="1" si="4"/>
        <v>CLE</v>
      </c>
      <c r="P31" t="str">
        <f t="shared" ca="1" si="5"/>
        <v>TB</v>
      </c>
      <c r="Q31">
        <f t="shared" ca="1" si="6"/>
        <v>19</v>
      </c>
      <c r="R31">
        <f t="shared" ca="1" si="7"/>
        <v>31.3</v>
      </c>
      <c r="S31" t="str">
        <f t="shared" ca="1" si="8"/>
        <v>Win</v>
      </c>
    </row>
    <row r="32" spans="1:19" x14ac:dyDescent="0.35">
      <c r="A32">
        <f t="shared" ca="1" si="1"/>
        <v>16</v>
      </c>
      <c r="B32">
        <f t="shared" si="9"/>
        <v>13</v>
      </c>
      <c r="C32" t="str">
        <f t="shared" si="10"/>
        <v>2026w2p0</v>
      </c>
      <c r="D32">
        <v>2026</v>
      </c>
      <c r="E32">
        <v>0</v>
      </c>
      <c r="F32">
        <v>2</v>
      </c>
      <c r="G32" t="str" cm="1">
        <f t="array" aca="1" ref="G32" ca="1">OFFSET(INDIRECT("'G:\My Drive\nfl-model-site\data\[nfl_predict_outcome"&amp;$C32&amp;".csv]nfl_predict_outcome"&amp;$C32&amp;"'!A2"),$B32,G$1)</f>
        <v>SF</v>
      </c>
      <c r="H32" t="str" cm="1">
        <f t="array" aca="1" ref="H32" ca="1">OFFSET(INDIRECT("'G:\My Drive\nfl-model-site\data\[nfl_predict_outcome"&amp;$C32&amp;".csv]nfl_predict_outcome"&amp;$C32&amp;"'!A2"),$B32,H$1)</f>
        <v>MIA</v>
      </c>
      <c r="I32" t="str" cm="1">
        <f t="array" aca="1" ref="I32" ca="1">OFFSET(INDIRECT("'G:\My Drive\nfl-model-site\data\[nfl_predict_outcome"&amp;$C32&amp;".csv]nfl_predict_outcome"&amp;$C32&amp;"'!A2"),$B32,I$1)</f>
        <v>SF</v>
      </c>
      <c r="J32" cm="1">
        <f t="array" aca="1" ref="J32" ca="1">OFFSET(INDIRECT("'G:\My Drive\nfl-model-site\data\[nfl_predict_outcome"&amp;$C32&amp;".csv]nfl_predict_outcome"&amp;$C32&amp;"'!A2"),$B32,J$1)</f>
        <v>-6.9</v>
      </c>
      <c r="K32" t="str" cm="1">
        <f t="array" aca="1" ref="K32" ca="1">OFFSET(INDIRECT("'G:\My Drive\nfl-model-site\data\[nfl_predict_outcome"&amp;$C32&amp;".csv]nfl_predict_outcome"&amp;$C32&amp;"'!A2"),$B32,K$1)</f>
        <v>with</v>
      </c>
      <c r="L32" cm="1">
        <f t="array" aca="1" ref="L32" ca="1">OFFSET(INDIRECT("'G:\My Drive\nfl-model-site\data\[nfl_predict_outcome"&amp;$C32&amp;".csv]nfl_predict_outcome"&amp;$C32&amp;"'!A2"),$B32,L$1)</f>
        <v>-13.5</v>
      </c>
      <c r="M32" cm="1">
        <f t="array" aca="1" ref="M32" ca="1">_xlfn.XLOOKUP($D32&amp;$F32&amp;$E32&amp;$G32,[1]nfl_historical_matchup_data!$B:$B&amp;[1]nfl_historical_matchup_data!$C:$C&amp;[1]nfl_historical_matchup_data!$L:$L&amp;[1]nfl_historical_matchup_data!$E:$E,[1]nfl_historical_matchup_data!$I:$I)</f>
        <v>35</v>
      </c>
      <c r="N32" cm="1">
        <f t="array" aca="1" ref="N32" ca="1">_xlfn.XLOOKUP($D32&amp;$F32&amp;$E32&amp;$G32,[1]nfl_historical_matchup_data!$B:$B&amp;[1]nfl_historical_matchup_data!$C:$C&amp;[1]nfl_historical_matchup_data!$L:$L&amp;[1]nfl_historical_matchup_data!$E:$E,[1]nfl_historical_matchup_data!$J:$J)</f>
        <v>13</v>
      </c>
      <c r="O32" t="str">
        <f t="shared" ca="1" si="4"/>
        <v>MIA</v>
      </c>
      <c r="P32" t="str">
        <f t="shared" ca="1" si="5"/>
        <v>SF</v>
      </c>
      <c r="Q32">
        <f t="shared" ca="1" si="6"/>
        <v>35</v>
      </c>
      <c r="R32">
        <f t="shared" ca="1" si="7"/>
        <v>26.5</v>
      </c>
      <c r="S32" t="str">
        <f t="shared" ca="1" si="8"/>
        <v>Lose</v>
      </c>
    </row>
    <row r="33" spans="1:19" x14ac:dyDescent="0.35">
      <c r="A33">
        <f t="shared" ca="1" si="1"/>
        <v>16</v>
      </c>
      <c r="B33">
        <f t="shared" si="9"/>
        <v>14</v>
      </c>
      <c r="C33" t="str">
        <f t="shared" si="10"/>
        <v>2026w2p0</v>
      </c>
      <c r="D33">
        <v>2026</v>
      </c>
      <c r="E33">
        <v>0</v>
      </c>
      <c r="F33">
        <v>2</v>
      </c>
      <c r="G33" t="str" cm="1">
        <f t="array" aca="1" ref="G33" ca="1">OFFSET(INDIRECT("'G:\My Drive\nfl-model-site\data\[nfl_predict_outcome"&amp;$C33&amp;".csv]nfl_predict_outcome"&amp;$C33&amp;"'!A2"),$B33,G$1)</f>
        <v>LAR</v>
      </c>
      <c r="H33" t="str" cm="1">
        <f t="array" aca="1" ref="H33" ca="1">OFFSET(INDIRECT("'G:\My Drive\nfl-model-site\data\[nfl_predict_outcome"&amp;$C33&amp;".csv]nfl_predict_outcome"&amp;$C33&amp;"'!A2"),$B33,H$1)</f>
        <v>NYG</v>
      </c>
      <c r="I33" t="str" cm="1">
        <f t="array" aca="1" ref="I33" ca="1">OFFSET(INDIRECT("'G:\My Drive\nfl-model-site\data\[nfl_predict_outcome"&amp;$C33&amp;".csv]nfl_predict_outcome"&amp;$C33&amp;"'!A2"),$B33,I$1)</f>
        <v>LAR</v>
      </c>
      <c r="J33" cm="1">
        <f t="array" aca="1" ref="J33" ca="1">OFFSET(INDIRECT("'G:\My Drive\nfl-model-site\data\[nfl_predict_outcome"&amp;$C33&amp;".csv]nfl_predict_outcome"&amp;$C33&amp;"'!A2"),$B33,J$1)</f>
        <v>-1.3</v>
      </c>
      <c r="K33" t="str" cm="1">
        <f t="array" aca="1" ref="K33" ca="1">OFFSET(INDIRECT("'G:\My Drive\nfl-model-site\data\[nfl_predict_outcome"&amp;$C33&amp;".csv]nfl_predict_outcome"&amp;$C33&amp;"'!A2"),$B33,K$1)</f>
        <v>with</v>
      </c>
      <c r="L33" cm="1">
        <f t="array" aca="1" ref="L33" ca="1">OFFSET(INDIRECT("'G:\My Drive\nfl-model-site\data\[nfl_predict_outcome"&amp;$C33&amp;".csv]nfl_predict_outcome"&amp;$C33&amp;"'!A2"),$B33,L$1)</f>
        <v>-6.7</v>
      </c>
      <c r="M33" cm="1">
        <f t="array" aca="1" ref="M33" ca="1">_xlfn.XLOOKUP($D33&amp;$F33&amp;$E33&amp;$G33,[1]nfl_historical_matchup_data!$B:$B&amp;[1]nfl_historical_matchup_data!$C:$C&amp;[1]nfl_historical_matchup_data!$L:$L&amp;[1]nfl_historical_matchup_data!$E:$E,[1]nfl_historical_matchup_data!$I:$I)</f>
        <v>28</v>
      </c>
      <c r="N33" cm="1">
        <f t="array" aca="1" ref="N33" ca="1">_xlfn.XLOOKUP($D33&amp;$F33&amp;$E33&amp;$G33,[1]nfl_historical_matchup_data!$B:$B&amp;[1]nfl_historical_matchup_data!$C:$C&amp;[1]nfl_historical_matchup_data!$L:$L&amp;[1]nfl_historical_matchup_data!$E:$E,[1]nfl_historical_matchup_data!$J:$J)</f>
        <v>6</v>
      </c>
      <c r="O33" t="str">
        <f t="shared" ca="1" si="4"/>
        <v>NYG</v>
      </c>
      <c r="P33" t="str">
        <f t="shared" ca="1" si="5"/>
        <v>LAR</v>
      </c>
      <c r="Q33">
        <f t="shared" ca="1" si="6"/>
        <v>28</v>
      </c>
      <c r="R33">
        <f t="shared" ca="1" si="7"/>
        <v>12.7</v>
      </c>
      <c r="S33" t="str">
        <f t="shared" ca="1" si="8"/>
        <v>Lose</v>
      </c>
    </row>
    <row r="34" spans="1:19" x14ac:dyDescent="0.35">
      <c r="A34">
        <f t="shared" ca="1" si="1"/>
        <v>16</v>
      </c>
      <c r="B34">
        <f t="shared" si="9"/>
        <v>15</v>
      </c>
      <c r="C34" t="str">
        <f t="shared" si="10"/>
        <v>2026w2p0</v>
      </c>
      <c r="D34">
        <v>2026</v>
      </c>
      <c r="E34">
        <v>0</v>
      </c>
      <c r="F34">
        <v>2</v>
      </c>
      <c r="G34" t="str" cm="1">
        <f t="array" aca="1" ref="G34" ca="1">OFFSET(INDIRECT("'G:\My Drive\nfl-model-site\data\[nfl_predict_outcome"&amp;$C34&amp;".csv]nfl_predict_outcome"&amp;$C34&amp;"'!A2"),$B34,G$1)</f>
        <v>ARI</v>
      </c>
      <c r="H34" t="str" cm="1">
        <f t="array" aca="1" ref="H34" ca="1">OFFSET(INDIRECT("'G:\My Drive\nfl-model-site\data\[nfl_predict_outcome"&amp;$C34&amp;".csv]nfl_predict_outcome"&amp;$C34&amp;"'!A2"),$B34,H$1)</f>
        <v>SEA</v>
      </c>
      <c r="I34" t="str" cm="1">
        <f t="array" aca="1" ref="I34" ca="1">OFFSET(INDIRECT("'G:\My Drive\nfl-model-site\data\[nfl_predict_outcome"&amp;$C34&amp;".csv]nfl_predict_outcome"&amp;$C34&amp;"'!A2"),$B34,I$1)</f>
        <v>ARI</v>
      </c>
      <c r="J34" cm="1">
        <f t="array" aca="1" ref="J34" ca="1">OFFSET(INDIRECT("'G:\My Drive\nfl-model-site\data\[nfl_predict_outcome"&amp;$C34&amp;".csv]nfl_predict_outcome"&amp;$C34&amp;"'!A2"),$B34,J$1)</f>
        <v>-2.7</v>
      </c>
      <c r="K34" t="str" cm="1">
        <f t="array" aca="1" ref="K34" ca="1">OFFSET(INDIRECT("'G:\My Drive\nfl-model-site\data\[nfl_predict_outcome"&amp;$C34&amp;".csv]nfl_predict_outcome"&amp;$C34&amp;"'!A2"),$B34,K$1)</f>
        <v>against</v>
      </c>
      <c r="L34" cm="1">
        <f t="array" aca="1" ref="L34" ca="1">OFFSET(INDIRECT("'G:\My Drive\nfl-model-site\data\[nfl_predict_outcome"&amp;$C34&amp;".csv]nfl_predict_outcome"&amp;$C34&amp;"'!A2"),$B34,L$1)</f>
        <v>4</v>
      </c>
      <c r="M34" cm="1">
        <f t="array" aca="1" ref="M34" ca="1">_xlfn.XLOOKUP($D34&amp;$F34&amp;$E34&amp;$G34,[1]nfl_historical_matchup_data!$B:$B&amp;[1]nfl_historical_matchup_data!$C:$C&amp;[1]nfl_historical_matchup_data!$L:$L&amp;[1]nfl_historical_matchup_data!$E:$E,[1]nfl_historical_matchup_data!$I:$I)</f>
        <v>7</v>
      </c>
      <c r="N34" cm="1">
        <f t="array" aca="1" ref="N34" ca="1">_xlfn.XLOOKUP($D34&amp;$F34&amp;$E34&amp;$G34,[1]nfl_historical_matchup_data!$B:$B&amp;[1]nfl_historical_matchup_data!$C:$C&amp;[1]nfl_historical_matchup_data!$L:$L&amp;[1]nfl_historical_matchup_data!$E:$E,[1]nfl_historical_matchup_data!$J:$J)</f>
        <v>31</v>
      </c>
      <c r="O34" t="str">
        <f t="shared" ca="1" si="4"/>
        <v>ARI</v>
      </c>
      <c r="P34" t="str">
        <f t="shared" ca="1" si="5"/>
        <v>SEA</v>
      </c>
      <c r="Q34">
        <f t="shared" ca="1" si="6"/>
        <v>11</v>
      </c>
      <c r="R34">
        <f t="shared" ca="1" si="7"/>
        <v>31</v>
      </c>
      <c r="S34" t="str">
        <f t="shared" ca="1" si="8"/>
        <v>Lose</v>
      </c>
    </row>
    <row r="35" spans="1:19" x14ac:dyDescent="0.35">
      <c r="A35">
        <f t="shared" ca="1" si="1"/>
        <v>16</v>
      </c>
      <c r="B35">
        <f t="shared" ref="B35" si="11">IF(C35&lt;&gt;C34,0,B34+1)</f>
        <v>0</v>
      </c>
      <c r="C35" t="str">
        <f t="shared" ref="C35" si="12">D35&amp;"w"&amp;F35&amp;"p"&amp;E35</f>
        <v>2026w3p0</v>
      </c>
      <c r="D35">
        <v>2026</v>
      </c>
      <c r="E35">
        <v>0</v>
      </c>
      <c r="F35">
        <v>3</v>
      </c>
      <c r="G35" t="str" cm="1">
        <f t="array" aca="1" ref="G35" ca="1">OFFSET(INDIRECT("'G:\My Drive\nfl-model-site\data\[nfl_predict_outcome"&amp;$C35&amp;".csv]nfl_predict_outcome"&amp;$C35&amp;"'!A2"),$B35,G$1)</f>
        <v>BUF</v>
      </c>
      <c r="H35" t="str" cm="1">
        <f t="array" aca="1" ref="H35" ca="1">OFFSET(INDIRECT("'G:\My Drive\nfl-model-site\data\[nfl_predict_outcome"&amp;$C35&amp;".csv]nfl_predict_outcome"&amp;$C35&amp;"'!A2"),$B35,H$1)</f>
        <v>LAC</v>
      </c>
      <c r="I35" t="str" cm="1">
        <f t="array" aca="1" ref="I35" ca="1">OFFSET(INDIRECT("'G:\My Drive\nfl-model-site\data\[nfl_predict_outcome"&amp;$C35&amp;".csv]nfl_predict_outcome"&amp;$C35&amp;"'!A2"),$B35,I$1)</f>
        <v>BUF</v>
      </c>
      <c r="J35" cm="1">
        <f t="array" aca="1" ref="J35" ca="1">OFFSET(INDIRECT("'G:\My Drive\nfl-model-site\data\[nfl_predict_outcome"&amp;$C35&amp;".csv]nfl_predict_outcome"&amp;$C35&amp;"'!A2"),$B35,J$1)</f>
        <v>-7.6</v>
      </c>
      <c r="K35" t="str" cm="1">
        <f t="array" aca="1" ref="K35" ca="1">OFFSET(INDIRECT("'G:\My Drive\nfl-model-site\data\[nfl_predict_outcome"&amp;$C35&amp;".csv]nfl_predict_outcome"&amp;$C35&amp;"'!A2"),$B35,K$1)</f>
        <v>with</v>
      </c>
      <c r="L35" cm="1">
        <f t="array" aca="1" ref="L35" ca="1">OFFSET(INDIRECT("'G:\My Drive\nfl-model-site\data\[nfl_predict_outcome"&amp;$C35&amp;".csv]nfl_predict_outcome"&amp;$C35&amp;"'!A2"),$B35,L$1)</f>
        <v>-7.2</v>
      </c>
      <c r="M35" cm="1">
        <f t="array" aca="1" ref="M35" ca="1">_xlfn.XLOOKUP($D35&amp;$F35&amp;$E35&amp;$G35,[1]nfl_historical_matchup_data!$B:$B&amp;[1]nfl_historical_matchup_data!$C:$C&amp;[1]nfl_historical_matchup_data!$L:$L&amp;[1]nfl_historical_matchup_data!$E:$E,[1]nfl_historical_matchup_data!$I:$I)</f>
        <v>24</v>
      </c>
      <c r="N35" cm="1">
        <f t="array" aca="1" ref="N35" ca="1">_xlfn.XLOOKUP($D35&amp;$F35&amp;$E35&amp;$G35,[1]nfl_historical_matchup_data!$B:$B&amp;[1]nfl_historical_matchup_data!$C:$C&amp;[1]nfl_historical_matchup_data!$L:$L&amp;[1]nfl_historical_matchup_data!$E:$E,[1]nfl_historical_matchup_data!$J:$J)</f>
        <v>16</v>
      </c>
      <c r="O35" t="str">
        <f t="shared" ca="1" si="4"/>
        <v>BUF</v>
      </c>
      <c r="P35" t="str">
        <f t="shared" ca="1" si="5"/>
        <v>BUF</v>
      </c>
      <c r="Q35">
        <f t="shared" ca="1" si="6"/>
        <v>24</v>
      </c>
      <c r="R35">
        <f t="shared" ca="1" si="7"/>
        <v>23.2</v>
      </c>
      <c r="S35" t="str">
        <f t="shared" ca="1" si="8"/>
        <v>Win</v>
      </c>
    </row>
    <row r="36" spans="1:19" x14ac:dyDescent="0.35">
      <c r="A36">
        <f t="shared" ca="1" si="1"/>
        <v>16</v>
      </c>
      <c r="B36">
        <f t="shared" ref="B36:B50" si="13">IF(C36&lt;&gt;C35,0,B35+1)</f>
        <v>1</v>
      </c>
      <c r="C36" t="str">
        <f t="shared" ref="C36:C50" si="14">D36&amp;"w"&amp;F36&amp;"p"&amp;E36</f>
        <v>2026w3p0</v>
      </c>
      <c r="D36">
        <v>2026</v>
      </c>
      <c r="E36">
        <v>0</v>
      </c>
      <c r="F36">
        <v>3</v>
      </c>
      <c r="G36" t="str" cm="1">
        <f t="array" aca="1" ref="G36" ca="1">OFFSET(INDIRECT("'G:\My Drive\nfl-model-site\data\[nfl_predict_outcome"&amp;$C36&amp;".csv]nfl_predict_outcome"&amp;$C36&amp;"'!A2"),$B36,G$1)</f>
        <v>MIA</v>
      </c>
      <c r="H36" t="str" cm="1">
        <f t="array" aca="1" ref="H36" ca="1">OFFSET(INDIRECT("'G:\My Drive\nfl-model-site\data\[nfl_predict_outcome"&amp;$C36&amp;".csv]nfl_predict_outcome"&amp;$C36&amp;"'!A2"),$B36,H$1)</f>
        <v>KC</v>
      </c>
      <c r="I36" t="str" cm="1">
        <f t="array" aca="1" ref="I36" ca="1">OFFSET(INDIRECT("'G:\My Drive\nfl-model-site\data\[nfl_predict_outcome"&amp;$C36&amp;".csv]nfl_predict_outcome"&amp;$C36&amp;"'!A2"),$B36,I$1)</f>
        <v>KC</v>
      </c>
      <c r="J36" cm="1">
        <f t="array" aca="1" ref="J36" ca="1">OFFSET(INDIRECT("'G:\My Drive\nfl-model-site\data\[nfl_predict_outcome"&amp;$C36&amp;".csv]nfl_predict_outcome"&amp;$C36&amp;"'!A2"),$B36,J$1)</f>
        <v>-4.2</v>
      </c>
      <c r="K36" t="str" cm="1">
        <f t="array" aca="1" ref="K36" ca="1">OFFSET(INDIRECT("'G:\My Drive\nfl-model-site\data\[nfl_predict_outcome"&amp;$C36&amp;".csv]nfl_predict_outcome"&amp;$C36&amp;"'!A2"),$B36,K$1)</f>
        <v>with</v>
      </c>
      <c r="L36" cm="1">
        <f t="array" aca="1" ref="L36" ca="1">OFFSET(INDIRECT("'G:\My Drive\nfl-model-site\data\[nfl_predict_outcome"&amp;$C36&amp;".csv]nfl_predict_outcome"&amp;$C36&amp;"'!A2"),$B36,L$1)</f>
        <v>-9.6999999999999993</v>
      </c>
      <c r="M36" cm="1">
        <f t="array" aca="1" ref="M36" ca="1">_xlfn.XLOOKUP($D36&amp;$F36&amp;$E36&amp;$G36,[1]nfl_historical_matchup_data!$B:$B&amp;[1]nfl_historical_matchup_data!$C:$C&amp;[1]nfl_historical_matchup_data!$L:$L&amp;[1]nfl_historical_matchup_data!$E:$E,[1]nfl_historical_matchup_data!$I:$I)</f>
        <v>10</v>
      </c>
      <c r="N36" cm="1">
        <f t="array" aca="1" ref="N36" ca="1">_xlfn.XLOOKUP($D36&amp;$F36&amp;$E36&amp;$G36,[1]nfl_historical_matchup_data!$B:$B&amp;[1]nfl_historical_matchup_data!$C:$C&amp;[1]nfl_historical_matchup_data!$L:$L&amp;[1]nfl_historical_matchup_data!$E:$E,[1]nfl_historical_matchup_data!$J:$J)</f>
        <v>24</v>
      </c>
      <c r="O36" t="str">
        <f t="shared" ca="1" si="4"/>
        <v>MIA</v>
      </c>
      <c r="P36" t="str">
        <f t="shared" ca="1" si="5"/>
        <v>KC</v>
      </c>
      <c r="Q36">
        <f t="shared" ca="1" si="6"/>
        <v>19.7</v>
      </c>
      <c r="R36">
        <f t="shared" ca="1" si="7"/>
        <v>24</v>
      </c>
      <c r="S36" t="str">
        <f t="shared" ca="1" si="8"/>
        <v>Lose</v>
      </c>
    </row>
    <row r="37" spans="1:19" x14ac:dyDescent="0.35">
      <c r="A37">
        <f t="shared" ca="1" si="1"/>
        <v>16</v>
      </c>
      <c r="B37">
        <f t="shared" si="13"/>
        <v>2</v>
      </c>
      <c r="C37" t="str">
        <f t="shared" si="14"/>
        <v>2026w3p0</v>
      </c>
      <c r="D37">
        <v>2026</v>
      </c>
      <c r="E37">
        <v>0</v>
      </c>
      <c r="F37">
        <v>3</v>
      </c>
      <c r="G37" t="str" cm="1">
        <f t="array" aca="1" ref="G37" ca="1">OFFSET(INDIRECT("'G:\My Drive\nfl-model-site\data\[nfl_predict_outcome"&amp;$C37&amp;".csv]nfl_predict_outcome"&amp;$C37&amp;"'!A2"),$B37,G$1)</f>
        <v>PIT</v>
      </c>
      <c r="H37" t="str" cm="1">
        <f t="array" aca="1" ref="H37" ca="1">OFFSET(INDIRECT("'G:\My Drive\nfl-model-site\data\[nfl_predict_outcome"&amp;$C37&amp;".csv]nfl_predict_outcome"&amp;$C37&amp;"'!A2"),$B37,H$1)</f>
        <v>CIN</v>
      </c>
      <c r="I37" t="str" cm="1">
        <f t="array" aca="1" ref="I37" ca="1">OFFSET(INDIRECT("'G:\My Drive\nfl-model-site\data\[nfl_predict_outcome"&amp;$C37&amp;".csv]nfl_predict_outcome"&amp;$C37&amp;"'!A2"),$B37,I$1)</f>
        <v>CIN</v>
      </c>
      <c r="J37" cm="1">
        <f t="array" aca="1" ref="J37" ca="1">OFFSET(INDIRECT("'G:\My Drive\nfl-model-site\data\[nfl_predict_outcome"&amp;$C37&amp;".csv]nfl_predict_outcome"&amp;$C37&amp;"'!A2"),$B37,J$1)</f>
        <v>-4.2</v>
      </c>
      <c r="K37" t="str" cm="1">
        <f t="array" aca="1" ref="K37" ca="1">OFFSET(INDIRECT("'G:\My Drive\nfl-model-site\data\[nfl_predict_outcome"&amp;$C37&amp;".csv]nfl_predict_outcome"&amp;$C37&amp;"'!A2"),$B37,K$1)</f>
        <v>with</v>
      </c>
      <c r="L37" cm="1">
        <f t="array" aca="1" ref="L37" ca="1">OFFSET(INDIRECT("'G:\My Drive\nfl-model-site\data\[nfl_predict_outcome"&amp;$C37&amp;".csv]nfl_predict_outcome"&amp;$C37&amp;"'!A2"),$B37,L$1)</f>
        <v>-3.3</v>
      </c>
      <c r="M37" cm="1">
        <f t="array" aca="1" ref="M37" ca="1">_xlfn.XLOOKUP($D37&amp;$F37&amp;$E37&amp;$G37,[1]nfl_historical_matchup_data!$B:$B&amp;[1]nfl_historical_matchup_data!$C:$C&amp;[1]nfl_historical_matchup_data!$L:$L&amp;[1]nfl_historical_matchup_data!$E:$E,[1]nfl_historical_matchup_data!$I:$I)</f>
        <v>30</v>
      </c>
      <c r="N37" cm="1">
        <f t="array" aca="1" ref="N37" ca="1">_xlfn.XLOOKUP($D37&amp;$F37&amp;$E37&amp;$G37,[1]nfl_historical_matchup_data!$B:$B&amp;[1]nfl_historical_matchup_data!$C:$C&amp;[1]nfl_historical_matchup_data!$L:$L&amp;[1]nfl_historical_matchup_data!$E:$E,[1]nfl_historical_matchup_data!$J:$J)</f>
        <v>27</v>
      </c>
      <c r="O37" t="str">
        <f t="shared" ca="1" si="4"/>
        <v>CIN</v>
      </c>
      <c r="P37" t="str">
        <f t="shared" ca="1" si="5"/>
        <v>CIN</v>
      </c>
      <c r="Q37">
        <f t="shared" ca="1" si="6"/>
        <v>33.299999999999997</v>
      </c>
      <c r="R37">
        <f t="shared" ca="1" si="7"/>
        <v>27</v>
      </c>
      <c r="S37" t="str">
        <f t="shared" ca="1" si="8"/>
        <v>Lose</v>
      </c>
    </row>
    <row r="38" spans="1:19" x14ac:dyDescent="0.35">
      <c r="A38">
        <f t="shared" ca="1" si="1"/>
        <v>16</v>
      </c>
      <c r="B38">
        <f t="shared" si="13"/>
        <v>3</v>
      </c>
      <c r="C38" t="str">
        <f t="shared" si="14"/>
        <v>2026w3p0</v>
      </c>
      <c r="D38">
        <v>2026</v>
      </c>
      <c r="E38">
        <v>0</v>
      </c>
      <c r="F38">
        <v>3</v>
      </c>
      <c r="G38" t="str" cm="1">
        <f t="array" aca="1" ref="G38" ca="1">OFFSET(INDIRECT("'G:\My Drive\nfl-model-site\data\[nfl_predict_outcome"&amp;$C38&amp;".csv]nfl_predict_outcome"&amp;$C38&amp;"'!A2"),$B38,G$1)</f>
        <v>CLE</v>
      </c>
      <c r="H38" t="str" cm="1">
        <f t="array" aca="1" ref="H38" ca="1">OFFSET(INDIRECT("'G:\My Drive\nfl-model-site\data\[nfl_predict_outcome"&amp;$C38&amp;".csv]nfl_predict_outcome"&amp;$C38&amp;"'!A2"),$B38,H$1)</f>
        <v>CAR</v>
      </c>
      <c r="I38" t="str" cm="1">
        <f t="array" aca="1" ref="I38" ca="1">OFFSET(INDIRECT("'G:\My Drive\nfl-model-site\data\[nfl_predict_outcome"&amp;$C38&amp;".csv]nfl_predict_outcome"&amp;$C38&amp;"'!A2"),$B38,I$1)</f>
        <v>CAR</v>
      </c>
      <c r="J38" cm="1">
        <f t="array" aca="1" ref="J38" ca="1">OFFSET(INDIRECT("'G:\My Drive\nfl-model-site\data\[nfl_predict_outcome"&amp;$C38&amp;".csv]nfl_predict_outcome"&amp;$C38&amp;"'!A2"),$B38,J$1)</f>
        <v>-2.7</v>
      </c>
      <c r="K38" t="str" cm="1">
        <f t="array" aca="1" ref="K38" ca="1">OFFSET(INDIRECT("'G:\My Drive\nfl-model-site\data\[nfl_predict_outcome"&amp;$C38&amp;".csv]nfl_predict_outcome"&amp;$C38&amp;"'!A2"),$B38,K$1)</f>
        <v>with</v>
      </c>
      <c r="L38" cm="1">
        <f t="array" aca="1" ref="L38" ca="1">OFFSET(INDIRECT("'G:\My Drive\nfl-model-site\data\[nfl_predict_outcome"&amp;$C38&amp;".csv]nfl_predict_outcome"&amp;$C38&amp;"'!A2"),$B38,L$1)</f>
        <v>-2.2999999999999998</v>
      </c>
      <c r="M38" cm="1">
        <f t="array" aca="1" ref="M38" ca="1">_xlfn.XLOOKUP($D38&amp;$F38&amp;$E38&amp;$G38,[1]nfl_historical_matchup_data!$B:$B&amp;[1]nfl_historical_matchup_data!$C:$C&amp;[1]nfl_historical_matchup_data!$L:$L&amp;[1]nfl_historical_matchup_data!$E:$E,[1]nfl_historical_matchup_data!$I:$I)</f>
        <v>21</v>
      </c>
      <c r="N38" cm="1">
        <f t="array" aca="1" ref="N38" ca="1">_xlfn.XLOOKUP($D38&amp;$F38&amp;$E38&amp;$G38,[1]nfl_historical_matchup_data!$B:$B&amp;[1]nfl_historical_matchup_data!$C:$C&amp;[1]nfl_historical_matchup_data!$L:$L&amp;[1]nfl_historical_matchup_data!$E:$E,[1]nfl_historical_matchup_data!$J:$J)</f>
        <v>18</v>
      </c>
      <c r="O38" t="str">
        <f t="shared" ca="1" si="4"/>
        <v>CAR</v>
      </c>
      <c r="P38" t="str">
        <f t="shared" ca="1" si="5"/>
        <v>CAR</v>
      </c>
      <c r="Q38">
        <f t="shared" ca="1" si="6"/>
        <v>23.3</v>
      </c>
      <c r="R38">
        <f t="shared" ca="1" si="7"/>
        <v>18</v>
      </c>
      <c r="S38" t="str">
        <f t="shared" ca="1" si="8"/>
        <v>Lose</v>
      </c>
    </row>
    <row r="39" spans="1:19" x14ac:dyDescent="0.35">
      <c r="A39">
        <f t="shared" ca="1" si="1"/>
        <v>16</v>
      </c>
      <c r="B39">
        <f t="shared" si="13"/>
        <v>4</v>
      </c>
      <c r="C39" t="str">
        <f t="shared" si="14"/>
        <v>2026w3p0</v>
      </c>
      <c r="D39">
        <v>2026</v>
      </c>
      <c r="E39">
        <v>0</v>
      </c>
      <c r="F39">
        <v>3</v>
      </c>
      <c r="G39" t="str" cm="1">
        <f t="array" aca="1" ref="G39" ca="1">OFFSET(INDIRECT("'G:\My Drive\nfl-model-site\data\[nfl_predict_outcome"&amp;$C39&amp;".csv]nfl_predict_outcome"&amp;$C39&amp;"'!A2"),$B39,G$1)</f>
        <v>IND</v>
      </c>
      <c r="H39" t="str" cm="1">
        <f t="array" aca="1" ref="H39" ca="1">OFFSET(INDIRECT("'G:\My Drive\nfl-model-site\data\[nfl_predict_outcome"&amp;$C39&amp;".csv]nfl_predict_outcome"&amp;$C39&amp;"'!A2"),$B39,H$1)</f>
        <v>HOU</v>
      </c>
      <c r="I39" t="str" cm="1">
        <f t="array" aca="1" ref="I39" ca="1">OFFSET(INDIRECT("'G:\My Drive\nfl-model-site\data\[nfl_predict_outcome"&amp;$C39&amp;".csv]nfl_predict_outcome"&amp;$C39&amp;"'!A2"),$B39,I$1)</f>
        <v>IND</v>
      </c>
      <c r="J39" cm="1">
        <f t="array" aca="1" ref="J39" ca="1">OFFSET(INDIRECT("'G:\My Drive\nfl-model-site\data\[nfl_predict_outcome"&amp;$C39&amp;".csv]nfl_predict_outcome"&amp;$C39&amp;"'!A2"),$B39,J$1)</f>
        <v>-2.6</v>
      </c>
      <c r="K39" t="str" cm="1">
        <f t="array" aca="1" ref="K39" ca="1">OFFSET(INDIRECT("'G:\My Drive\nfl-model-site\data\[nfl_predict_outcome"&amp;$C39&amp;".csv]nfl_predict_outcome"&amp;$C39&amp;"'!A2"),$B39,K$1)</f>
        <v>against</v>
      </c>
      <c r="L39" cm="1">
        <f t="array" aca="1" ref="L39" ca="1">OFFSET(INDIRECT("'G:\My Drive\nfl-model-site\data\[nfl_predict_outcome"&amp;$C39&amp;".csv]nfl_predict_outcome"&amp;$C39&amp;"'!A2"),$B39,L$1)</f>
        <v>1.5</v>
      </c>
      <c r="M39" cm="1">
        <f t="array" aca="1" ref="M39" ca="1">_xlfn.XLOOKUP($D39&amp;$F39&amp;$E39&amp;$G39,[1]nfl_historical_matchup_data!$B:$B&amp;[1]nfl_historical_matchup_data!$C:$C&amp;[1]nfl_historical_matchup_data!$L:$L&amp;[1]nfl_historical_matchup_data!$E:$E,[1]nfl_historical_matchup_data!$I:$I)</f>
        <v>19</v>
      </c>
      <c r="N39" cm="1">
        <f t="array" aca="1" ref="N39" ca="1">_xlfn.XLOOKUP($D39&amp;$F39&amp;$E39&amp;$G39,[1]nfl_historical_matchup_data!$B:$B&amp;[1]nfl_historical_matchup_data!$C:$C&amp;[1]nfl_historical_matchup_data!$L:$L&amp;[1]nfl_historical_matchup_data!$E:$E,[1]nfl_historical_matchup_data!$J:$J)</f>
        <v>17</v>
      </c>
      <c r="O39" t="str">
        <f t="shared" ca="1" si="4"/>
        <v>IND</v>
      </c>
      <c r="P39" t="str">
        <f t="shared" ca="1" si="5"/>
        <v>HOU</v>
      </c>
      <c r="Q39">
        <f t="shared" ca="1" si="6"/>
        <v>20.5</v>
      </c>
      <c r="R39">
        <f t="shared" ca="1" si="7"/>
        <v>17</v>
      </c>
      <c r="S39" t="str">
        <f t="shared" ca="1" si="8"/>
        <v>Win</v>
      </c>
    </row>
    <row r="40" spans="1:19" x14ac:dyDescent="0.35">
      <c r="A40">
        <f t="shared" ca="1" si="1"/>
        <v>16</v>
      </c>
      <c r="B40">
        <f t="shared" si="13"/>
        <v>5</v>
      </c>
      <c r="C40" t="str">
        <f t="shared" si="14"/>
        <v>2026w3p0</v>
      </c>
      <c r="D40">
        <v>2026</v>
      </c>
      <c r="E40">
        <v>0</v>
      </c>
      <c r="F40">
        <v>3</v>
      </c>
      <c r="G40" t="str" cm="1">
        <f t="array" aca="1" ref="G40" ca="1">OFFSET(INDIRECT("'G:\My Drive\nfl-model-site\data\[nfl_predict_outcome"&amp;$C40&amp;".csv]nfl_predict_outcome"&amp;$C40&amp;"'!A2"),$B40,G$1)</f>
        <v>JAX</v>
      </c>
      <c r="H40" t="str" cm="1">
        <f t="array" aca="1" ref="H40" ca="1">OFFSET(INDIRECT("'G:\My Drive\nfl-model-site\data\[nfl_predict_outcome"&amp;$C40&amp;".csv]nfl_predict_outcome"&amp;$C40&amp;"'!A2"),$B40,H$1)</f>
        <v>NE</v>
      </c>
      <c r="I40" t="str" cm="1">
        <f t="array" aca="1" ref="I40" ca="1">OFFSET(INDIRECT("'G:\My Drive\nfl-model-site\data\[nfl_predict_outcome"&amp;$C40&amp;".csv]nfl_predict_outcome"&amp;$C40&amp;"'!A2"),$B40,I$1)</f>
        <v>JAX</v>
      </c>
      <c r="J40" cm="1">
        <f t="array" aca="1" ref="J40" ca="1">OFFSET(INDIRECT("'G:\My Drive\nfl-model-site\data\[nfl_predict_outcome"&amp;$C40&amp;".csv]nfl_predict_outcome"&amp;$C40&amp;"'!A2"),$B40,J$1)</f>
        <v>-1.6</v>
      </c>
      <c r="K40" t="str" cm="1">
        <f t="array" aca="1" ref="K40" ca="1">OFFSET(INDIRECT("'G:\My Drive\nfl-model-site\data\[nfl_predict_outcome"&amp;$C40&amp;".csv]nfl_predict_outcome"&amp;$C40&amp;"'!A2"),$B40,K$1)</f>
        <v>with</v>
      </c>
      <c r="L40" cm="1">
        <f t="array" aca="1" ref="L40" ca="1">OFFSET(INDIRECT("'G:\My Drive\nfl-model-site\data\[nfl_predict_outcome"&amp;$C40&amp;".csv]nfl_predict_outcome"&amp;$C40&amp;"'!A2"),$B40,L$1)</f>
        <v>-2.8</v>
      </c>
      <c r="M40" cm="1">
        <f t="array" aca="1" ref="M40" ca="1">_xlfn.XLOOKUP($D40&amp;$F40&amp;$E40&amp;$G40,[1]nfl_historical_matchup_data!$B:$B&amp;[1]nfl_historical_matchup_data!$C:$C&amp;[1]nfl_historical_matchup_data!$L:$L&amp;[1]nfl_historical_matchup_data!$E:$E,[1]nfl_historical_matchup_data!$I:$I)</f>
        <v>35</v>
      </c>
      <c r="N40" cm="1">
        <f t="array" aca="1" ref="N40" ca="1">_xlfn.XLOOKUP($D40&amp;$F40&amp;$E40&amp;$G40,[1]nfl_historical_matchup_data!$B:$B&amp;[1]nfl_historical_matchup_data!$C:$C&amp;[1]nfl_historical_matchup_data!$L:$L&amp;[1]nfl_historical_matchup_data!$E:$E,[1]nfl_historical_matchup_data!$J:$J)</f>
        <v>6</v>
      </c>
      <c r="O40" t="str">
        <f t="shared" ca="1" si="4"/>
        <v>NE</v>
      </c>
      <c r="P40" t="str">
        <f t="shared" ca="1" si="5"/>
        <v>JAX</v>
      </c>
      <c r="Q40">
        <f t="shared" ca="1" si="6"/>
        <v>35</v>
      </c>
      <c r="R40">
        <f t="shared" ca="1" si="7"/>
        <v>8.8000000000000007</v>
      </c>
      <c r="S40" t="str">
        <f t="shared" ca="1" si="8"/>
        <v>Lose</v>
      </c>
    </row>
    <row r="41" spans="1:19" x14ac:dyDescent="0.35">
      <c r="A41">
        <f t="shared" ca="1" si="1"/>
        <v>16</v>
      </c>
      <c r="B41">
        <f t="shared" si="13"/>
        <v>6</v>
      </c>
      <c r="C41" t="str">
        <f t="shared" si="14"/>
        <v>2026w3p0</v>
      </c>
      <c r="D41">
        <v>2026</v>
      </c>
      <c r="E41">
        <v>0</v>
      </c>
      <c r="F41">
        <v>3</v>
      </c>
      <c r="G41" t="str" cm="1">
        <f t="array" aca="1" ref="G41" ca="1">OFFSET(INDIRECT("'G:\My Drive\nfl-model-site\data\[nfl_predict_outcome"&amp;$C41&amp;".csv]nfl_predict_outcome"&amp;$C41&amp;"'!A2"),$B41,G$1)</f>
        <v>DEN</v>
      </c>
      <c r="H41" t="str" cm="1">
        <f t="array" aca="1" ref="H41" ca="1">OFFSET(INDIRECT("'G:\My Drive\nfl-model-site\data\[nfl_predict_outcome"&amp;$C41&amp;".csv]nfl_predict_outcome"&amp;$C41&amp;"'!A2"),$B41,H$1)</f>
        <v>LAR</v>
      </c>
      <c r="I41" t="str" cm="1">
        <f t="array" aca="1" ref="I41" ca="1">OFFSET(INDIRECT("'G:\My Drive\nfl-model-site\data\[nfl_predict_outcome"&amp;$C41&amp;".csv]nfl_predict_outcome"&amp;$C41&amp;"'!A2"),$B41,I$1)</f>
        <v>LAR</v>
      </c>
      <c r="J41" cm="1">
        <f t="array" aca="1" ref="J41" ca="1">OFFSET(INDIRECT("'G:\My Drive\nfl-model-site\data\[nfl_predict_outcome"&amp;$C41&amp;".csv]nfl_predict_outcome"&amp;$C41&amp;"'!A2"),$B41,J$1)</f>
        <v>-4.7</v>
      </c>
      <c r="K41" t="str" cm="1">
        <f t="array" aca="1" ref="K41" ca="1">OFFSET(INDIRECT("'G:\My Drive\nfl-model-site\data\[nfl_predict_outcome"&amp;$C41&amp;".csv]nfl_predict_outcome"&amp;$C41&amp;"'!A2"),$B41,K$1)</f>
        <v>with</v>
      </c>
      <c r="L41" cm="1">
        <f t="array" aca="1" ref="L41" ca="1">OFFSET(INDIRECT("'G:\My Drive\nfl-model-site\data\[nfl_predict_outcome"&amp;$C41&amp;".csv]nfl_predict_outcome"&amp;$C41&amp;"'!A2"),$B41,L$1)</f>
        <v>-0.7</v>
      </c>
      <c r="M41" cm="1">
        <f t="array" aca="1" ref="M41" ca="1">_xlfn.XLOOKUP($D41&amp;$F41&amp;$E41&amp;$G41,[1]nfl_historical_matchup_data!$B:$B&amp;[1]nfl_historical_matchup_data!$C:$C&amp;[1]nfl_historical_matchup_data!$L:$L&amp;[1]nfl_historical_matchup_data!$E:$E,[1]nfl_historical_matchup_data!$I:$I)</f>
        <v>30</v>
      </c>
      <c r="N41" cm="1">
        <f t="array" aca="1" ref="N41" ca="1">_xlfn.XLOOKUP($D41&amp;$F41&amp;$E41&amp;$G41,[1]nfl_historical_matchup_data!$B:$B&amp;[1]nfl_historical_matchup_data!$C:$C&amp;[1]nfl_historical_matchup_data!$L:$L&amp;[1]nfl_historical_matchup_data!$E:$E,[1]nfl_historical_matchup_data!$J:$J)</f>
        <v>26</v>
      </c>
      <c r="O41" t="str">
        <f t="shared" ca="1" si="4"/>
        <v>LAR</v>
      </c>
      <c r="P41" t="str">
        <f t="shared" ca="1" si="5"/>
        <v>LAR</v>
      </c>
      <c r="Q41">
        <f t="shared" ca="1" si="6"/>
        <v>30.7</v>
      </c>
      <c r="R41">
        <f t="shared" ca="1" si="7"/>
        <v>26</v>
      </c>
      <c r="S41" t="str">
        <f t="shared" ca="1" si="8"/>
        <v>Lose</v>
      </c>
    </row>
    <row r="42" spans="1:19" x14ac:dyDescent="0.35">
      <c r="A42">
        <f t="shared" ca="1" si="1"/>
        <v>16</v>
      </c>
      <c r="B42">
        <f t="shared" si="13"/>
        <v>7</v>
      </c>
      <c r="C42" t="str">
        <f t="shared" si="14"/>
        <v>2026w3p0</v>
      </c>
      <c r="D42">
        <v>2026</v>
      </c>
      <c r="E42">
        <v>0</v>
      </c>
      <c r="F42">
        <v>3</v>
      </c>
      <c r="G42" t="str" cm="1">
        <f t="array" aca="1" ref="G42" ca="1">OFFSET(INDIRECT("'G:\My Drive\nfl-model-site\data\[nfl_predict_outcome"&amp;$C42&amp;".csv]nfl_predict_outcome"&amp;$C42&amp;"'!A2"),$B42,G$1)</f>
        <v>DAL</v>
      </c>
      <c r="H42" t="str" cm="1">
        <f t="array" aca="1" ref="H42" ca="1">OFFSET(INDIRECT("'G:\My Drive\nfl-model-site\data\[nfl_predict_outcome"&amp;$C42&amp;".csv]nfl_predict_outcome"&amp;$C42&amp;"'!A2"),$B42,H$1)</f>
        <v>BAL</v>
      </c>
      <c r="I42" t="str" cm="1">
        <f t="array" aca="1" ref="I42" ca="1">OFFSET(INDIRECT("'G:\My Drive\nfl-model-site\data\[nfl_predict_outcome"&amp;$C42&amp;".csv]nfl_predict_outcome"&amp;$C42&amp;"'!A2"),$B42,I$1)</f>
        <v>BAL</v>
      </c>
      <c r="J42" cm="1">
        <f t="array" aca="1" ref="J42" ca="1">OFFSET(INDIRECT("'G:\My Drive\nfl-model-site\data\[nfl_predict_outcome"&amp;$C42&amp;".csv]nfl_predict_outcome"&amp;$C42&amp;"'!A2"),$B42,J$1)</f>
        <v>-1.3</v>
      </c>
      <c r="K42" t="str" cm="1">
        <f t="array" aca="1" ref="K42" ca="1">OFFSET(INDIRECT("'G:\My Drive\nfl-model-site\data\[nfl_predict_outcome"&amp;$C42&amp;".csv]nfl_predict_outcome"&amp;$C42&amp;"'!A2"),$B42,K$1)</f>
        <v>with</v>
      </c>
      <c r="L42" cm="1">
        <f t="array" aca="1" ref="L42" ca="1">OFFSET(INDIRECT("'G:\My Drive\nfl-model-site\data\[nfl_predict_outcome"&amp;$C42&amp;".csv]nfl_predict_outcome"&amp;$C42&amp;"'!A2"),$B42,L$1)</f>
        <v>-3.3</v>
      </c>
      <c r="M42" cm="1">
        <f t="array" aca="1" ref="M42" ca="1">_xlfn.XLOOKUP($D42&amp;$F42&amp;$E42&amp;$G42,[1]nfl_historical_matchup_data!$B:$B&amp;[1]nfl_historical_matchup_data!$C:$C&amp;[1]nfl_historical_matchup_data!$L:$L&amp;[1]nfl_historical_matchup_data!$E:$E,[1]nfl_historical_matchup_data!$I:$I)</f>
        <v>31</v>
      </c>
      <c r="N42" cm="1">
        <f t="array" aca="1" ref="N42" ca="1">_xlfn.XLOOKUP($D42&amp;$F42&amp;$E42&amp;$G42,[1]nfl_historical_matchup_data!$B:$B&amp;[1]nfl_historical_matchup_data!$C:$C&amp;[1]nfl_historical_matchup_data!$L:$L&amp;[1]nfl_historical_matchup_data!$E:$E,[1]nfl_historical_matchup_data!$J:$J)</f>
        <v>34</v>
      </c>
      <c r="O42" t="str">
        <f t="shared" ca="1" si="4"/>
        <v>DAL</v>
      </c>
      <c r="P42" t="str">
        <f t="shared" ca="1" si="5"/>
        <v>BAL</v>
      </c>
      <c r="Q42">
        <f t="shared" ca="1" si="6"/>
        <v>34.299999999999997</v>
      </c>
      <c r="R42">
        <f t="shared" ca="1" si="7"/>
        <v>34</v>
      </c>
      <c r="S42" t="str">
        <f t="shared" ca="1" si="8"/>
        <v>Win</v>
      </c>
    </row>
    <row r="43" spans="1:19" x14ac:dyDescent="0.35">
      <c r="A43">
        <f t="shared" ca="1" si="1"/>
        <v>16</v>
      </c>
      <c r="B43">
        <f t="shared" si="13"/>
        <v>8</v>
      </c>
      <c r="C43" t="str">
        <f t="shared" si="14"/>
        <v>2026w3p0</v>
      </c>
      <c r="D43">
        <v>2026</v>
      </c>
      <c r="E43">
        <v>0</v>
      </c>
      <c r="F43">
        <v>3</v>
      </c>
      <c r="G43" t="str" cm="1">
        <f t="array" aca="1" ref="G43" ca="1">OFFSET(INDIRECT("'G:\My Drive\nfl-model-site\data\[nfl_predict_outcome"&amp;$C43&amp;".csv]nfl_predict_outcome"&amp;$C43&amp;"'!A2"),$B43,G$1)</f>
        <v>NYG</v>
      </c>
      <c r="H43" t="str" cm="1">
        <f t="array" aca="1" ref="H43" ca="1">OFFSET(INDIRECT("'G:\My Drive\nfl-model-site\data\[nfl_predict_outcome"&amp;$C43&amp;".csv]nfl_predict_outcome"&amp;$C43&amp;"'!A2"),$B43,H$1)</f>
        <v>TEN</v>
      </c>
      <c r="I43" t="str" cm="1">
        <f t="array" aca="1" ref="I43" ca="1">OFFSET(INDIRECT("'G:\My Drive\nfl-model-site\data\[nfl_predict_outcome"&amp;$C43&amp;".csv]nfl_predict_outcome"&amp;$C43&amp;"'!A2"),$B43,I$1)</f>
        <v>NYG</v>
      </c>
      <c r="J43" cm="1">
        <f t="array" aca="1" ref="J43" ca="1">OFFSET(INDIRECT("'G:\My Drive\nfl-model-site\data\[nfl_predict_outcome"&amp;$C43&amp;".csv]nfl_predict_outcome"&amp;$C43&amp;"'!A2"),$B43,J$1)</f>
        <v>-4.0999999999999996</v>
      </c>
      <c r="K43" t="str" cm="1">
        <f t="array" aca="1" ref="K43" ca="1">OFFSET(INDIRECT("'G:\My Drive\nfl-model-site\data\[nfl_predict_outcome"&amp;$C43&amp;".csv]nfl_predict_outcome"&amp;$C43&amp;"'!A2"),$B43,K$1)</f>
        <v>with</v>
      </c>
      <c r="L43" cm="1">
        <f t="array" aca="1" ref="L43" ca="1">OFFSET(INDIRECT("'G:\My Drive\nfl-model-site\data\[nfl_predict_outcome"&amp;$C43&amp;".csv]nfl_predict_outcome"&amp;$C43&amp;"'!A2"),$B43,L$1)</f>
        <v>-2.5</v>
      </c>
      <c r="M43" cm="1">
        <f t="array" aca="1" ref="M43" ca="1">_xlfn.XLOOKUP($D43&amp;$F43&amp;$E43&amp;$G43,[1]nfl_historical_matchup_data!$B:$B&amp;[1]nfl_historical_matchup_data!$C:$C&amp;[1]nfl_historical_matchup_data!$L:$L&amp;[1]nfl_historical_matchup_data!$E:$E,[1]nfl_historical_matchup_data!$I:$I)</f>
        <v>12</v>
      </c>
      <c r="N43" cm="1">
        <f t="array" aca="1" ref="N43" ca="1">_xlfn.XLOOKUP($D43&amp;$F43&amp;$E43&amp;$G43,[1]nfl_historical_matchup_data!$B:$B&amp;[1]nfl_historical_matchup_data!$C:$C&amp;[1]nfl_historical_matchup_data!$L:$L&amp;[1]nfl_historical_matchup_data!$E:$E,[1]nfl_historical_matchup_data!$J:$J)</f>
        <v>7</v>
      </c>
      <c r="O43" t="str">
        <f t="shared" ca="1" si="4"/>
        <v>NYG</v>
      </c>
      <c r="P43" t="str">
        <f t="shared" ca="1" si="5"/>
        <v>NYG</v>
      </c>
      <c r="Q43">
        <f t="shared" ca="1" si="6"/>
        <v>12</v>
      </c>
      <c r="R43">
        <f t="shared" ca="1" si="7"/>
        <v>9.5</v>
      </c>
      <c r="S43" t="str">
        <f t="shared" ca="1" si="8"/>
        <v>Win</v>
      </c>
    </row>
    <row r="44" spans="1:19" x14ac:dyDescent="0.35">
      <c r="A44">
        <f t="shared" ca="1" si="1"/>
        <v>16</v>
      </c>
      <c r="B44">
        <f t="shared" si="13"/>
        <v>9</v>
      </c>
      <c r="C44" t="str">
        <f t="shared" si="14"/>
        <v>2026w3p0</v>
      </c>
      <c r="D44">
        <v>2026</v>
      </c>
      <c r="E44">
        <v>0</v>
      </c>
      <c r="F44">
        <v>3</v>
      </c>
      <c r="G44" t="str" cm="1">
        <f t="array" aca="1" ref="G44" ca="1">OFFSET(INDIRECT("'G:\My Drive\nfl-model-site\data\[nfl_predict_outcome"&amp;$C44&amp;".csv]nfl_predict_outcome"&amp;$C44&amp;"'!A2"),$B44,G$1)</f>
        <v>WSH</v>
      </c>
      <c r="H44" t="str" cm="1">
        <f t="array" aca="1" ref="H44" ca="1">OFFSET(INDIRECT("'G:\My Drive\nfl-model-site\data\[nfl_predict_outcome"&amp;$C44&amp;".csv]nfl_predict_outcome"&amp;$C44&amp;"'!A2"),$B44,H$1)</f>
        <v>SEA</v>
      </c>
      <c r="I44" t="str" cm="1">
        <f t="array" aca="1" ref="I44" ca="1">OFFSET(INDIRECT("'G:\My Drive\nfl-model-site\data\[nfl_predict_outcome"&amp;$C44&amp;".csv]nfl_predict_outcome"&amp;$C44&amp;"'!A2"),$B44,I$1)</f>
        <v>SEA</v>
      </c>
      <c r="J44" cm="1">
        <f t="array" aca="1" ref="J44" ca="1">OFFSET(INDIRECT("'G:\My Drive\nfl-model-site\data\[nfl_predict_outcome"&amp;$C44&amp;".csv]nfl_predict_outcome"&amp;$C44&amp;"'!A2"),$B44,J$1)</f>
        <v>-5.0999999999999996</v>
      </c>
      <c r="K44" t="str" cm="1">
        <f t="array" aca="1" ref="K44" ca="1">OFFSET(INDIRECT("'G:\My Drive\nfl-model-site\data\[nfl_predict_outcome"&amp;$C44&amp;".csv]nfl_predict_outcome"&amp;$C44&amp;"'!A2"),$B44,K$1)</f>
        <v>with</v>
      </c>
      <c r="L44" cm="1">
        <f t="array" aca="1" ref="L44" ca="1">OFFSET(INDIRECT("'G:\My Drive\nfl-model-site\data\[nfl_predict_outcome"&amp;$C44&amp;".csv]nfl_predict_outcome"&amp;$C44&amp;"'!A2"),$B44,L$1)</f>
        <v>-8.5</v>
      </c>
      <c r="M44" cm="1">
        <f t="array" aca="1" ref="M44" ca="1">_xlfn.XLOOKUP($D44&amp;$F44&amp;$E44&amp;$G44,[1]nfl_historical_matchup_data!$B:$B&amp;[1]nfl_historical_matchup_data!$C:$C&amp;[1]nfl_historical_matchup_data!$L:$L&amp;[1]nfl_historical_matchup_data!$E:$E,[1]nfl_historical_matchup_data!$I:$I)</f>
        <v>33</v>
      </c>
      <c r="N44" cm="1">
        <f t="array" aca="1" ref="N44" ca="1">_xlfn.XLOOKUP($D44&amp;$F44&amp;$E44&amp;$G44,[1]nfl_historical_matchup_data!$B:$B&amp;[1]nfl_historical_matchup_data!$C:$C&amp;[1]nfl_historical_matchup_data!$L:$L&amp;[1]nfl_historical_matchup_data!$E:$E,[1]nfl_historical_matchup_data!$J:$J)</f>
        <v>31</v>
      </c>
      <c r="O44" t="str">
        <f t="shared" ca="1" si="4"/>
        <v>WSH</v>
      </c>
      <c r="P44" t="str">
        <f t="shared" ca="1" si="5"/>
        <v>SEA</v>
      </c>
      <c r="Q44">
        <f t="shared" ca="1" si="6"/>
        <v>41.5</v>
      </c>
      <c r="R44">
        <f t="shared" ca="1" si="7"/>
        <v>31</v>
      </c>
      <c r="S44" t="str">
        <f t="shared" ca="1" si="8"/>
        <v>Win</v>
      </c>
    </row>
    <row r="45" spans="1:19" x14ac:dyDescent="0.35">
      <c r="A45">
        <f t="shared" ca="1" si="1"/>
        <v>16</v>
      </c>
      <c r="B45">
        <f t="shared" si="13"/>
        <v>10</v>
      </c>
      <c r="C45" t="str">
        <f t="shared" si="14"/>
        <v>2026w3p0</v>
      </c>
      <c r="D45">
        <v>2026</v>
      </c>
      <c r="E45">
        <v>0</v>
      </c>
      <c r="F45">
        <v>3</v>
      </c>
      <c r="G45" t="str" cm="1">
        <f t="array" aca="1" ref="G45" ca="1">OFFSET(INDIRECT("'G:\My Drive\nfl-model-site\data\[nfl_predict_outcome"&amp;$C45&amp;".csv]nfl_predict_outcome"&amp;$C45&amp;"'!A2"),$B45,G$1)</f>
        <v>GB</v>
      </c>
      <c r="H45" t="str" cm="1">
        <f t="array" aca="1" ref="H45" ca="1">OFFSET(INDIRECT("'G:\My Drive\nfl-model-site\data\[nfl_predict_outcome"&amp;$C45&amp;".csv]nfl_predict_outcome"&amp;$C45&amp;"'!A2"),$B45,H$1)</f>
        <v>ATL</v>
      </c>
      <c r="I45" t="str" cm="1">
        <f t="array" aca="1" ref="I45" ca="1">OFFSET(INDIRECT("'G:\My Drive\nfl-model-site\data\[nfl_predict_outcome"&amp;$C45&amp;".csv]nfl_predict_outcome"&amp;$C45&amp;"'!A2"),$B45,I$1)</f>
        <v>GB</v>
      </c>
      <c r="J45" cm="1">
        <f t="array" aca="1" ref="J45" ca="1">OFFSET(INDIRECT("'G:\My Drive\nfl-model-site\data\[nfl_predict_outcome"&amp;$C45&amp;".csv]nfl_predict_outcome"&amp;$C45&amp;"'!A2"),$B45,J$1)</f>
        <v>-2</v>
      </c>
      <c r="K45" t="str" cm="1">
        <f t="array" aca="1" ref="K45" ca="1">OFFSET(INDIRECT("'G:\My Drive\nfl-model-site\data\[nfl_predict_outcome"&amp;$C45&amp;".csv]nfl_predict_outcome"&amp;$C45&amp;"'!A2"),$B45,K$1)</f>
        <v>with</v>
      </c>
      <c r="L45" cm="1">
        <f t="array" aca="1" ref="L45" ca="1">OFFSET(INDIRECT("'G:\My Drive\nfl-model-site\data\[nfl_predict_outcome"&amp;$C45&amp;".csv]nfl_predict_outcome"&amp;$C45&amp;"'!A2"),$B45,L$1)</f>
        <v>-4.5</v>
      </c>
      <c r="M45" cm="1">
        <f t="array" aca="1" ref="M45" ca="1">_xlfn.XLOOKUP($D45&amp;$F45&amp;$E45&amp;$G45,[1]nfl_historical_matchup_data!$B:$B&amp;[1]nfl_historical_matchup_data!$C:$C&amp;[1]nfl_historical_matchup_data!$L:$L&amp;[1]nfl_historical_matchup_data!$E:$E,[1]nfl_historical_matchup_data!$I:$I)</f>
        <v>14</v>
      </c>
      <c r="N45" cm="1">
        <f t="array" aca="1" ref="N45" ca="1">_xlfn.XLOOKUP($D45&amp;$F45&amp;$E45&amp;$G45,[1]nfl_historical_matchup_data!$B:$B&amp;[1]nfl_historical_matchup_data!$C:$C&amp;[1]nfl_historical_matchup_data!$L:$L&amp;[1]nfl_historical_matchup_data!$E:$E,[1]nfl_historical_matchup_data!$J:$J)</f>
        <v>35</v>
      </c>
      <c r="O45" t="str">
        <f t="shared" ca="1" si="4"/>
        <v>ATL</v>
      </c>
      <c r="P45" t="str">
        <f t="shared" ca="1" si="5"/>
        <v>GB</v>
      </c>
      <c r="Q45">
        <f t="shared" ca="1" si="6"/>
        <v>14</v>
      </c>
      <c r="R45">
        <f t="shared" ca="1" si="7"/>
        <v>39.5</v>
      </c>
      <c r="S45" t="str">
        <f t="shared" ca="1" si="8"/>
        <v>Win</v>
      </c>
    </row>
    <row r="46" spans="1:19" x14ac:dyDescent="0.35">
      <c r="A46">
        <f t="shared" ca="1" si="1"/>
        <v>16</v>
      </c>
      <c r="B46">
        <f t="shared" si="13"/>
        <v>11</v>
      </c>
      <c r="C46" t="str">
        <f t="shared" si="14"/>
        <v>2026w3p0</v>
      </c>
      <c r="D46">
        <v>2026</v>
      </c>
      <c r="E46">
        <v>0</v>
      </c>
      <c r="F46">
        <v>3</v>
      </c>
      <c r="G46" t="str" cm="1">
        <f t="array" aca="1" ref="G46" ca="1">OFFSET(INDIRECT("'G:\My Drive\nfl-model-site\data\[nfl_predict_outcome"&amp;$C46&amp;".csv]nfl_predict_outcome"&amp;$C46&amp;"'!A2"),$B46,G$1)</f>
        <v>CHI</v>
      </c>
      <c r="H46" t="str" cm="1">
        <f t="array" aca="1" ref="H46" ca="1">OFFSET(INDIRECT("'G:\My Drive\nfl-model-site\data\[nfl_predict_outcome"&amp;$C46&amp;".csv]nfl_predict_outcome"&amp;$C46&amp;"'!A2"),$B46,H$1)</f>
        <v>PHI</v>
      </c>
      <c r="I46" t="str" cm="1">
        <f t="array" aca="1" ref="I46" ca="1">OFFSET(INDIRECT("'G:\My Drive\nfl-model-site\data\[nfl_predict_outcome"&amp;$C46&amp;".csv]nfl_predict_outcome"&amp;$C46&amp;"'!A2"),$B46,I$1)</f>
        <v>CHI</v>
      </c>
      <c r="J46" cm="1">
        <f t="array" aca="1" ref="J46" ca="1">OFFSET(INDIRECT("'G:\My Drive\nfl-model-site\data\[nfl_predict_outcome"&amp;$C46&amp;".csv]nfl_predict_outcome"&amp;$C46&amp;"'!A2"),$B46,J$1)</f>
        <v>-1.2</v>
      </c>
      <c r="K46" t="str" cm="1">
        <f t="array" aca="1" ref="K46" ca="1">OFFSET(INDIRECT("'G:\My Drive\nfl-model-site\data\[nfl_predict_outcome"&amp;$C46&amp;".csv]nfl_predict_outcome"&amp;$C46&amp;"'!A2"),$B46,K$1)</f>
        <v>against</v>
      </c>
      <c r="L46" cm="1">
        <f t="array" aca="1" ref="L46" ca="1">OFFSET(INDIRECT("'G:\My Drive\nfl-model-site\data\[nfl_predict_outcome"&amp;$C46&amp;".csv]nfl_predict_outcome"&amp;$C46&amp;"'!A2"),$B46,L$1)</f>
        <v>3.5</v>
      </c>
      <c r="M46" cm="1">
        <f t="array" aca="1" ref="M46" ca="1">_xlfn.XLOOKUP($D46&amp;$F46&amp;$E46&amp;$G46,[1]nfl_historical_matchup_data!$B:$B&amp;[1]nfl_historical_matchup_data!$C:$C&amp;[1]nfl_historical_matchup_data!$L:$L&amp;[1]nfl_historical_matchup_data!$E:$E,[1]nfl_historical_matchup_data!$I:$I)</f>
        <v>27</v>
      </c>
      <c r="N46" cm="1">
        <f t="array" aca="1" ref="N46" ca="1">_xlfn.XLOOKUP($D46&amp;$F46&amp;$E46&amp;$G46,[1]nfl_historical_matchup_data!$B:$B&amp;[1]nfl_historical_matchup_data!$C:$C&amp;[1]nfl_historical_matchup_data!$L:$L&amp;[1]nfl_historical_matchup_data!$E:$E,[1]nfl_historical_matchup_data!$J:$J)</f>
        <v>7</v>
      </c>
      <c r="O46" t="str">
        <f t="shared" ca="1" si="4"/>
        <v>CHI</v>
      </c>
      <c r="P46" t="str">
        <f t="shared" ca="1" si="5"/>
        <v>PHI</v>
      </c>
      <c r="Q46">
        <f t="shared" ca="1" si="6"/>
        <v>30.5</v>
      </c>
      <c r="R46">
        <f t="shared" ca="1" si="7"/>
        <v>7</v>
      </c>
      <c r="S46" t="str">
        <f t="shared" ca="1" si="8"/>
        <v>Win</v>
      </c>
    </row>
    <row r="47" spans="1:19" x14ac:dyDescent="0.35">
      <c r="A47">
        <f t="shared" ca="1" si="1"/>
        <v>16</v>
      </c>
      <c r="B47">
        <f t="shared" si="13"/>
        <v>12</v>
      </c>
      <c r="C47" t="str">
        <f t="shared" si="14"/>
        <v>2026w3p0</v>
      </c>
      <c r="D47">
        <v>2026</v>
      </c>
      <c r="E47">
        <v>0</v>
      </c>
      <c r="F47">
        <v>3</v>
      </c>
      <c r="G47" t="str" cm="1">
        <f t="array" aca="1" ref="G47" ca="1">OFFSET(INDIRECT("'G:\My Drive\nfl-model-site\data\[nfl_predict_outcome"&amp;$C47&amp;".csv]nfl_predict_outcome"&amp;$C47&amp;"'!A2"),$B47,G$1)</f>
        <v>DET</v>
      </c>
      <c r="H47" t="str" cm="1">
        <f t="array" aca="1" ref="H47" ca="1">OFFSET(INDIRECT("'G:\My Drive\nfl-model-site\data\[nfl_predict_outcome"&amp;$C47&amp;".csv]nfl_predict_outcome"&amp;$C47&amp;"'!A2"),$B47,H$1)</f>
        <v>NYJ</v>
      </c>
      <c r="I47" t="str" cm="1">
        <f t="array" aca="1" ref="I47" ca="1">OFFSET(INDIRECT("'G:\My Drive\nfl-model-site\data\[nfl_predict_outcome"&amp;$C47&amp;".csv]nfl_predict_outcome"&amp;$C47&amp;"'!A2"),$B47,I$1)</f>
        <v>DET</v>
      </c>
      <c r="J47" cm="1">
        <f t="array" aca="1" ref="J47" ca="1">OFFSET(INDIRECT("'G:\My Drive\nfl-model-site\data\[nfl_predict_outcome"&amp;$C47&amp;".csv]nfl_predict_outcome"&amp;$C47&amp;"'!A2"),$B47,J$1)</f>
        <v>-4.9000000000000004</v>
      </c>
      <c r="K47" t="str" cm="1">
        <f t="array" aca="1" ref="K47" ca="1">OFFSET(INDIRECT("'G:\My Drive\nfl-model-site\data\[nfl_predict_outcome"&amp;$C47&amp;".csv]nfl_predict_outcome"&amp;$C47&amp;"'!A2"),$B47,K$1)</f>
        <v>with</v>
      </c>
      <c r="L47" cm="1">
        <f t="array" aca="1" ref="L47" ca="1">OFFSET(INDIRECT("'G:\My Drive\nfl-model-site\data\[nfl_predict_outcome"&amp;$C47&amp;".csv]nfl_predict_outcome"&amp;$C47&amp;"'!A2"),$B47,L$1)</f>
        <v>-6.5</v>
      </c>
      <c r="M47" cm="1">
        <f t="array" aca="1" ref="M47" ca="1">_xlfn.XLOOKUP($D47&amp;$F47&amp;$E47&amp;$G47,[1]nfl_historical_matchup_data!$B:$B&amp;[1]nfl_historical_matchup_data!$C:$C&amp;[1]nfl_historical_matchup_data!$L:$L&amp;[1]nfl_historical_matchup_data!$E:$E,[1]nfl_historical_matchup_data!$I:$I)</f>
        <v>31</v>
      </c>
      <c r="N47" cm="1">
        <f t="array" aca="1" ref="N47" ca="1">_xlfn.XLOOKUP($D47&amp;$F47&amp;$E47&amp;$G47,[1]nfl_historical_matchup_data!$B:$B&amp;[1]nfl_historical_matchup_data!$C:$C&amp;[1]nfl_historical_matchup_data!$L:$L&amp;[1]nfl_historical_matchup_data!$E:$E,[1]nfl_historical_matchup_data!$J:$J)</f>
        <v>24</v>
      </c>
      <c r="O47" t="str">
        <f t="shared" ca="1" si="4"/>
        <v>NYJ</v>
      </c>
      <c r="P47" t="str">
        <f t="shared" ca="1" si="5"/>
        <v>DET</v>
      </c>
      <c r="Q47">
        <f t="shared" ca="1" si="6"/>
        <v>31</v>
      </c>
      <c r="R47">
        <f t="shared" ca="1" si="7"/>
        <v>30.5</v>
      </c>
      <c r="S47" t="str">
        <f t="shared" ca="1" si="8"/>
        <v>Lose</v>
      </c>
    </row>
    <row r="48" spans="1:19" x14ac:dyDescent="0.35">
      <c r="A48">
        <f t="shared" ca="1" si="1"/>
        <v>16</v>
      </c>
      <c r="B48">
        <f t="shared" si="13"/>
        <v>13</v>
      </c>
      <c r="C48" t="str">
        <f t="shared" si="14"/>
        <v>2026w3p0</v>
      </c>
      <c r="D48">
        <v>2026</v>
      </c>
      <c r="E48">
        <v>0</v>
      </c>
      <c r="F48">
        <v>3</v>
      </c>
      <c r="G48" t="str" cm="1">
        <f t="array" aca="1" ref="G48" ca="1">OFFSET(INDIRECT("'G:\My Drive\nfl-model-site\data\[nfl_predict_outcome"&amp;$C48&amp;".csv]nfl_predict_outcome"&amp;$C48&amp;"'!A2"),$B48,G$1)</f>
        <v>NO</v>
      </c>
      <c r="H48" t="str" cm="1">
        <f t="array" aca="1" ref="H48" ca="1">OFFSET(INDIRECT("'G:\My Drive\nfl-model-site\data\[nfl_predict_outcome"&amp;$C48&amp;".csv]nfl_predict_outcome"&amp;$C48&amp;"'!A2"),$B48,H$1)</f>
        <v>LV</v>
      </c>
      <c r="I48" t="str" cm="1">
        <f t="array" aca="1" ref="I48" ca="1">OFFSET(INDIRECT("'G:\My Drive\nfl-model-site\data\[nfl_predict_outcome"&amp;$C48&amp;".csv]nfl_predict_outcome"&amp;$C48&amp;"'!A2"),$B48,I$1)</f>
        <v>LV</v>
      </c>
      <c r="J48" cm="1">
        <f t="array" aca="1" ref="J48" ca="1">OFFSET(INDIRECT("'G:\My Drive\nfl-model-site\data\[nfl_predict_outcome"&amp;$C48&amp;".csv]nfl_predict_outcome"&amp;$C48&amp;"'!A2"),$B48,J$1)</f>
        <v>-1.4</v>
      </c>
      <c r="K48" t="str" cm="1">
        <f t="array" aca="1" ref="K48" ca="1">OFFSET(INDIRECT("'G:\My Drive\nfl-model-site\data\[nfl_predict_outcome"&amp;$C48&amp;".csv]nfl_predict_outcome"&amp;$C48&amp;"'!A2"),$B48,K$1)</f>
        <v>against</v>
      </c>
      <c r="L48" cm="1">
        <f t="array" aca="1" ref="L48" ca="1">OFFSET(INDIRECT("'G:\My Drive\nfl-model-site\data\[nfl_predict_outcome"&amp;$C48&amp;".csv]nfl_predict_outcome"&amp;$C48&amp;"'!A2"),$B48,L$1)</f>
        <v>3.3</v>
      </c>
      <c r="M48" cm="1">
        <f t="array" aca="1" ref="M48" ca="1">_xlfn.XLOOKUP($D48&amp;$F48&amp;$E48&amp;$G48,[1]nfl_historical_matchup_data!$B:$B&amp;[1]nfl_historical_matchup_data!$C:$C&amp;[1]nfl_historical_matchup_data!$L:$L&amp;[1]nfl_historical_matchup_data!$E:$E,[1]nfl_historical_matchup_data!$I:$I)</f>
        <v>27</v>
      </c>
      <c r="N48" cm="1">
        <f t="array" aca="1" ref="N48" ca="1">_xlfn.XLOOKUP($D48&amp;$F48&amp;$E48&amp;$G48,[1]nfl_historical_matchup_data!$B:$B&amp;[1]nfl_historical_matchup_data!$C:$C&amp;[1]nfl_historical_matchup_data!$L:$L&amp;[1]nfl_historical_matchup_data!$E:$E,[1]nfl_historical_matchup_data!$J:$J)</f>
        <v>35</v>
      </c>
      <c r="O48" t="str">
        <f t="shared" ca="1" si="4"/>
        <v>LV</v>
      </c>
      <c r="P48" t="str">
        <f t="shared" ca="1" si="5"/>
        <v>NO</v>
      </c>
      <c r="Q48">
        <f t="shared" ca="1" si="6"/>
        <v>27</v>
      </c>
      <c r="R48">
        <f t="shared" ca="1" si="7"/>
        <v>38.299999999999997</v>
      </c>
      <c r="S48" t="str">
        <f t="shared" ca="1" si="8"/>
        <v>Win</v>
      </c>
    </row>
    <row r="49" spans="1:19" x14ac:dyDescent="0.35">
      <c r="A49">
        <f t="shared" ca="1" si="1"/>
        <v>16</v>
      </c>
      <c r="B49">
        <f t="shared" si="13"/>
        <v>14</v>
      </c>
      <c r="C49" t="str">
        <f t="shared" si="14"/>
        <v>2026w3p0</v>
      </c>
      <c r="D49">
        <v>2026</v>
      </c>
      <c r="E49">
        <v>0</v>
      </c>
      <c r="F49">
        <v>3</v>
      </c>
      <c r="G49" t="str" cm="1">
        <f t="array" aca="1" ref="G49" ca="1">OFFSET(INDIRECT("'G:\My Drive\nfl-model-site\data\[nfl_predict_outcome"&amp;$C49&amp;".csv]nfl_predict_outcome"&amp;$C49&amp;"'!A2"),$B49,G$1)</f>
        <v>TB</v>
      </c>
      <c r="H49" t="str" cm="1">
        <f t="array" aca="1" ref="H49" ca="1">OFFSET(INDIRECT("'G:\My Drive\nfl-model-site\data\[nfl_predict_outcome"&amp;$C49&amp;".csv]nfl_predict_outcome"&amp;$C49&amp;"'!A2"),$B49,H$1)</f>
        <v>MIN</v>
      </c>
      <c r="I49" t="str" cm="1">
        <f t="array" aca="1" ref="I49" ca="1">OFFSET(INDIRECT("'G:\My Drive\nfl-model-site\data\[nfl_predict_outcome"&amp;$C49&amp;".csv]nfl_predict_outcome"&amp;$C49&amp;"'!A2"),$B49,I$1)</f>
        <v>TB</v>
      </c>
      <c r="J49" cm="1">
        <f t="array" aca="1" ref="J49" ca="1">OFFSET(INDIRECT("'G:\My Drive\nfl-model-site\data\[nfl_predict_outcome"&amp;$C49&amp;".csv]nfl_predict_outcome"&amp;$C49&amp;"'!A2"),$B49,J$1)</f>
        <v>-3.7</v>
      </c>
      <c r="K49" t="str" cm="1">
        <f t="array" aca="1" ref="K49" ca="1">OFFSET(INDIRECT("'G:\My Drive\nfl-model-site\data\[nfl_predict_outcome"&amp;$C49&amp;".csv]nfl_predict_outcome"&amp;$C49&amp;"'!A2"),$B49,K$1)</f>
        <v>against</v>
      </c>
      <c r="L49" cm="1">
        <f t="array" aca="1" ref="L49" ca="1">OFFSET(INDIRECT("'G:\My Drive\nfl-model-site\data\[nfl_predict_outcome"&amp;$C49&amp;".csv]nfl_predict_outcome"&amp;$C49&amp;"'!A2"),$B49,L$1)</f>
        <v>1.3</v>
      </c>
      <c r="M49" cm="1">
        <f t="array" aca="1" ref="M49" ca="1">_xlfn.XLOOKUP($D49&amp;$F49&amp;$E49&amp;$G49,[1]nfl_historical_matchup_data!$B:$B&amp;[1]nfl_historical_matchup_data!$C:$C&amp;[1]nfl_historical_matchup_data!$L:$L&amp;[1]nfl_historical_matchup_data!$E:$E,[1]nfl_historical_matchup_data!$I:$I)</f>
        <v>16</v>
      </c>
      <c r="N49" cm="1">
        <f t="array" aca="1" ref="N49" ca="1">_xlfn.XLOOKUP($D49&amp;$F49&amp;$E49&amp;$G49,[1]nfl_historical_matchup_data!$B:$B&amp;[1]nfl_historical_matchup_data!$C:$C&amp;[1]nfl_historical_matchup_data!$L:$L&amp;[1]nfl_historical_matchup_data!$E:$E,[1]nfl_historical_matchup_data!$J:$J)</f>
        <v>23</v>
      </c>
      <c r="O49" t="str">
        <f t="shared" ca="1" si="4"/>
        <v>TB</v>
      </c>
      <c r="P49" t="str">
        <f t="shared" ca="1" si="5"/>
        <v>MIN</v>
      </c>
      <c r="Q49">
        <f t="shared" ca="1" si="6"/>
        <v>17.3</v>
      </c>
      <c r="R49">
        <f t="shared" ca="1" si="7"/>
        <v>23</v>
      </c>
      <c r="S49" t="str">
        <f t="shared" ca="1" si="8"/>
        <v>Lose</v>
      </c>
    </row>
    <row r="50" spans="1:19" x14ac:dyDescent="0.35">
      <c r="A50">
        <f t="shared" ca="1" si="1"/>
        <v>16</v>
      </c>
      <c r="B50">
        <f t="shared" si="13"/>
        <v>15</v>
      </c>
      <c r="C50" t="str">
        <f t="shared" si="14"/>
        <v>2026w3p0</v>
      </c>
      <c r="D50">
        <v>2026</v>
      </c>
      <c r="E50">
        <v>0</v>
      </c>
      <c r="F50">
        <v>3</v>
      </c>
      <c r="G50" t="str" cm="1">
        <f t="array" aca="1" ref="G50" ca="1">OFFSET(INDIRECT("'G:\My Drive\nfl-model-site\data\[nfl_predict_outcome"&amp;$C50&amp;".csv]nfl_predict_outcome"&amp;$C50&amp;"'!A2"),$B50,G$1)</f>
        <v>SF</v>
      </c>
      <c r="H50" t="str" cm="1">
        <f t="array" aca="1" ref="H50" ca="1">OFFSET(INDIRECT("'G:\My Drive\nfl-model-site\data\[nfl_predict_outcome"&amp;$C50&amp;".csv]nfl_predict_outcome"&amp;$C50&amp;"'!A2"),$B50,H$1)</f>
        <v>ARI</v>
      </c>
      <c r="I50" t="str" cm="1">
        <f t="array" aca="1" ref="I50" ca="1">OFFSET(INDIRECT("'G:\My Drive\nfl-model-site\data\[nfl_predict_outcome"&amp;$C50&amp;".csv]nfl_predict_outcome"&amp;$C50&amp;"'!A2"),$B50,I$1)</f>
        <v>SF</v>
      </c>
      <c r="J50" cm="1">
        <f t="array" aca="1" ref="J50" ca="1">OFFSET(INDIRECT("'G:\My Drive\nfl-model-site\data\[nfl_predict_outcome"&amp;$C50&amp;".csv]nfl_predict_outcome"&amp;$C50&amp;"'!A2"),$B50,J$1)</f>
        <v>-10.1</v>
      </c>
      <c r="K50" t="str" cm="1">
        <f t="array" aca="1" ref="K50" ca="1">OFFSET(INDIRECT("'G:\My Drive\nfl-model-site\data\[nfl_predict_outcome"&amp;$C50&amp;".csv]nfl_predict_outcome"&amp;$C50&amp;"'!A2"),$B50,K$1)</f>
        <v>with</v>
      </c>
      <c r="L50" cm="1">
        <f t="array" aca="1" ref="L50" ca="1">OFFSET(INDIRECT("'G:\My Drive\nfl-model-site\data\[nfl_predict_outcome"&amp;$C50&amp;".csv]nfl_predict_outcome"&amp;$C50&amp;"'!A2"),$B50,L$1)</f>
        <v>-7.5</v>
      </c>
      <c r="M50" cm="1">
        <f t="array" aca="1" ref="M50" ca="1">_xlfn.XLOOKUP($D50&amp;$F50&amp;$E50&amp;$G50,[1]nfl_historical_matchup_data!$B:$B&amp;[1]nfl_historical_matchup_data!$C:$C&amp;[1]nfl_historical_matchup_data!$L:$L&amp;[1]nfl_historical_matchup_data!$E:$E,[1]nfl_historical_matchup_data!$I:$I)</f>
        <v>36</v>
      </c>
      <c r="N50" cm="1">
        <f t="array" aca="1" ref="N50" ca="1">_xlfn.XLOOKUP($D50&amp;$F50&amp;$E50&amp;$G50,[1]nfl_historical_matchup_data!$B:$B&amp;[1]nfl_historical_matchup_data!$C:$C&amp;[1]nfl_historical_matchup_data!$L:$L&amp;[1]nfl_historical_matchup_data!$E:$E,[1]nfl_historical_matchup_data!$J:$J)</f>
        <v>30</v>
      </c>
      <c r="O50" t="str">
        <f t="shared" ca="1" si="4"/>
        <v>SF</v>
      </c>
      <c r="P50" t="str">
        <f t="shared" ca="1" si="5"/>
        <v>SF</v>
      </c>
      <c r="Q50">
        <f t="shared" ca="1" si="6"/>
        <v>36</v>
      </c>
      <c r="R50">
        <f t="shared" ca="1" si="7"/>
        <v>37.5</v>
      </c>
      <c r="S50" t="str">
        <f t="shared" ca="1" si="8"/>
        <v>Lose</v>
      </c>
    </row>
    <row r="51" spans="1:19" x14ac:dyDescent="0.35">
      <c r="A51">
        <f t="shared" ca="1" si="1"/>
        <v>16</v>
      </c>
      <c r="B51">
        <f t="shared" ref="B51" si="15">IF(C51&lt;&gt;C50,0,B50+1)</f>
        <v>0</v>
      </c>
      <c r="C51" t="str">
        <f t="shared" ref="C51" si="16">D51&amp;"w"&amp;F51&amp;"p"&amp;E51</f>
        <v>2026w4p0</v>
      </c>
      <c r="D51">
        <v>2026</v>
      </c>
      <c r="E51">
        <v>0</v>
      </c>
      <c r="F51">
        <v>4</v>
      </c>
      <c r="G51" t="str" cm="1">
        <f t="array" aca="1" ref="G51" ca="1">OFFSET(INDIRECT("'G:\My Drive\nfl-model-site\data\[nfl_predict_outcome"&amp;$C51&amp;".csv]nfl_predict_outcome"&amp;$C51&amp;"'!A2"),$B51,G$1)</f>
        <v>BUF</v>
      </c>
      <c r="H51" t="str" cm="1">
        <f t="array" aca="1" ref="H51" ca="1">OFFSET(INDIRECT("'G:\My Drive\nfl-model-site\data\[nfl_predict_outcome"&amp;$C51&amp;".csv]nfl_predict_outcome"&amp;$C51&amp;"'!A2"),$B51,H$1)</f>
        <v>NE</v>
      </c>
      <c r="I51" t="str" cm="1">
        <f t="array" aca="1" ref="I51" ca="1">OFFSET(INDIRECT("'G:\My Drive\nfl-model-site\data\[nfl_predict_outcome"&amp;$C51&amp;".csv]nfl_predict_outcome"&amp;$C51&amp;"'!A2"),$B51,I$1)</f>
        <v>BUF</v>
      </c>
      <c r="J51" cm="1">
        <f t="array" aca="1" ref="J51" ca="1">OFFSET(INDIRECT("'G:\My Drive\nfl-model-site\data\[nfl_predict_outcome"&amp;$C51&amp;".csv]nfl_predict_outcome"&amp;$C51&amp;"'!A2"),$B51,J$1)</f>
        <v>-5.0999999999999996</v>
      </c>
      <c r="K51" t="str" cm="1">
        <f t="array" aca="1" ref="K51" ca="1">OFFSET(INDIRECT("'G:\My Drive\nfl-model-site\data\[nfl_predict_outcome"&amp;$C51&amp;".csv]nfl_predict_outcome"&amp;$C51&amp;"'!A2"),$B51,K$1)</f>
        <v>with</v>
      </c>
      <c r="L51" cm="1">
        <f t="array" aca="1" ref="L51" ca="1">OFFSET(INDIRECT("'G:\My Drive\nfl-model-site\data\[nfl_predict_outcome"&amp;$C51&amp;".csv]nfl_predict_outcome"&amp;$C51&amp;"'!A2"),$B51,L$1)</f>
        <v>-7</v>
      </c>
      <c r="M51" cm="1">
        <f t="array" aca="1" ref="M51" ca="1">_xlfn.XLOOKUP($D51&amp;$F51&amp;$E51&amp;$G51,[1]nfl_historical_matchup_data!$B:$B&amp;[1]nfl_historical_matchup_data!$C:$C&amp;[1]nfl_historical_matchup_data!$L:$L&amp;[1]nfl_historical_matchup_data!$E:$E,[1]nfl_historical_matchup_data!$I:$I)</f>
        <v>26</v>
      </c>
      <c r="N51" cm="1">
        <f t="array" aca="1" ref="N51" ca="1">_xlfn.XLOOKUP($D51&amp;$F51&amp;$E51&amp;$G51,[1]nfl_historical_matchup_data!$B:$B&amp;[1]nfl_historical_matchup_data!$C:$C&amp;[1]nfl_historical_matchup_data!$L:$L&amp;[1]nfl_historical_matchup_data!$E:$E,[1]nfl_historical_matchup_data!$J:$J)</f>
        <v>29</v>
      </c>
      <c r="O51" t="str">
        <f t="shared" ca="1" si="4"/>
        <v>NE</v>
      </c>
      <c r="P51" t="str">
        <f t="shared" ca="1" si="5"/>
        <v>BUF</v>
      </c>
      <c r="Q51">
        <f t="shared" ca="1" si="6"/>
        <v>26</v>
      </c>
      <c r="R51">
        <f t="shared" ca="1" si="7"/>
        <v>36</v>
      </c>
      <c r="S51" t="str">
        <f t="shared" ca="1" si="8"/>
        <v>Win</v>
      </c>
    </row>
    <row r="52" spans="1:19" x14ac:dyDescent="0.35">
      <c r="A52">
        <f t="shared" ca="1" si="1"/>
        <v>16</v>
      </c>
      <c r="B52">
        <f t="shared" ref="B52:B66" si="17">IF(C52&lt;&gt;C51,0,B51+1)</f>
        <v>1</v>
      </c>
      <c r="C52" t="str">
        <f t="shared" ref="C52:C66" si="18">D52&amp;"w"&amp;F52&amp;"p"&amp;E52</f>
        <v>2026w4p0</v>
      </c>
      <c r="D52">
        <v>2026</v>
      </c>
      <c r="E52">
        <v>0</v>
      </c>
      <c r="F52">
        <v>4</v>
      </c>
      <c r="G52" t="str" cm="1">
        <f t="array" aca="1" ref="G52" ca="1">OFFSET(INDIRECT("'G:\My Drive\nfl-model-site\data\[nfl_predict_outcome"&amp;$C52&amp;".csv]nfl_predict_outcome"&amp;$C52&amp;"'!A2"),$B52,G$1)</f>
        <v>BAL</v>
      </c>
      <c r="H52" t="str" cm="1">
        <f t="array" aca="1" ref="H52" ca="1">OFFSET(INDIRECT("'G:\My Drive\nfl-model-site\data\[nfl_predict_outcome"&amp;$C52&amp;".csv]nfl_predict_outcome"&amp;$C52&amp;"'!A2"),$B52,H$1)</f>
        <v>TEN</v>
      </c>
      <c r="I52" t="str" cm="1">
        <f t="array" aca="1" ref="I52" ca="1">OFFSET(INDIRECT("'G:\My Drive\nfl-model-site\data\[nfl_predict_outcome"&amp;$C52&amp;".csv]nfl_predict_outcome"&amp;$C52&amp;"'!A2"),$B52,I$1)</f>
        <v>BAL</v>
      </c>
      <c r="J52" cm="1">
        <f t="array" aca="1" ref="J52" ca="1">OFFSET(INDIRECT("'G:\My Drive\nfl-model-site\data\[nfl_predict_outcome"&amp;$C52&amp;".csv]nfl_predict_outcome"&amp;$C52&amp;"'!A2"),$B52,J$1)</f>
        <v>-8.1</v>
      </c>
      <c r="K52" t="str" cm="1">
        <f t="array" aca="1" ref="K52" ca="1">OFFSET(INDIRECT("'G:\My Drive\nfl-model-site\data\[nfl_predict_outcome"&amp;$C52&amp;".csv]nfl_predict_outcome"&amp;$C52&amp;"'!A2"),$B52,K$1)</f>
        <v>with</v>
      </c>
      <c r="L52" cm="1">
        <f t="array" aca="1" ref="L52" ca="1">OFFSET(INDIRECT("'G:\My Drive\nfl-model-site\data\[nfl_predict_outcome"&amp;$C52&amp;".csv]nfl_predict_outcome"&amp;$C52&amp;"'!A2"),$B52,L$1)</f>
        <v>-11.7</v>
      </c>
      <c r="M52" cm="1">
        <f t="array" aca="1" ref="M52" ca="1">_xlfn.XLOOKUP($D52&amp;$F52&amp;$E52&amp;$G52,[1]nfl_historical_matchup_data!$B:$B&amp;[1]nfl_historical_matchup_data!$C:$C&amp;[1]nfl_historical_matchup_data!$L:$L&amp;[1]nfl_historical_matchup_data!$E:$E,[1]nfl_historical_matchup_data!$I:$I)</f>
        <v>24</v>
      </c>
      <c r="N52" cm="1">
        <f t="array" aca="1" ref="N52" ca="1">_xlfn.XLOOKUP($D52&amp;$F52&amp;$E52&amp;$G52,[1]nfl_historical_matchup_data!$B:$B&amp;[1]nfl_historical_matchup_data!$C:$C&amp;[1]nfl_historical_matchup_data!$L:$L&amp;[1]nfl_historical_matchup_data!$E:$E,[1]nfl_historical_matchup_data!$J:$J)</f>
        <v>18</v>
      </c>
      <c r="O52" t="str">
        <f t="shared" ca="1" si="4"/>
        <v>TEN</v>
      </c>
      <c r="P52" t="str">
        <f t="shared" ca="1" si="5"/>
        <v>BAL</v>
      </c>
      <c r="Q52">
        <f t="shared" ca="1" si="6"/>
        <v>24</v>
      </c>
      <c r="R52">
        <f t="shared" ca="1" si="7"/>
        <v>29.7</v>
      </c>
      <c r="S52" t="str">
        <f t="shared" ca="1" si="8"/>
        <v>Win</v>
      </c>
    </row>
    <row r="53" spans="1:19" x14ac:dyDescent="0.35">
      <c r="A53">
        <f t="shared" ca="1" si="1"/>
        <v>16</v>
      </c>
      <c r="B53">
        <f t="shared" si="17"/>
        <v>2</v>
      </c>
      <c r="C53" t="str">
        <f t="shared" si="18"/>
        <v>2026w4p0</v>
      </c>
      <c r="D53">
        <v>2026</v>
      </c>
      <c r="E53">
        <v>0</v>
      </c>
      <c r="F53">
        <v>4</v>
      </c>
      <c r="G53" t="str" cm="1">
        <f t="array" aca="1" ref="G53" ca="1">OFFSET(INDIRECT("'G:\My Drive\nfl-model-site\data\[nfl_predict_outcome"&amp;$C53&amp;".csv]nfl_predict_outcome"&amp;$C53&amp;"'!A2"),$B53,G$1)</f>
        <v>CLE</v>
      </c>
      <c r="H53" t="str" cm="1">
        <f t="array" aca="1" ref="H53" ca="1">OFFSET(INDIRECT("'G:\My Drive\nfl-model-site\data\[nfl_predict_outcome"&amp;$C53&amp;".csv]nfl_predict_outcome"&amp;$C53&amp;"'!A2"),$B53,H$1)</f>
        <v>PIT</v>
      </c>
      <c r="I53" t="str" cm="1">
        <f t="array" aca="1" ref="I53" ca="1">OFFSET(INDIRECT("'G:\My Drive\nfl-model-site\data\[nfl_predict_outcome"&amp;$C53&amp;".csv]nfl_predict_outcome"&amp;$C53&amp;"'!A2"),$B53,I$1)</f>
        <v>CLE</v>
      </c>
      <c r="J53" cm="1">
        <f t="array" aca="1" ref="J53" ca="1">OFFSET(INDIRECT("'G:\My Drive\nfl-model-site\data\[nfl_predict_outcome"&amp;$C53&amp;".csv]nfl_predict_outcome"&amp;$C53&amp;"'!A2"),$B53,J$1)</f>
        <v>-2.1</v>
      </c>
      <c r="K53" t="str" cm="1">
        <f t="array" aca="1" ref="K53" ca="1">OFFSET(INDIRECT("'G:\My Drive\nfl-model-site\data\[nfl_predict_outcome"&amp;$C53&amp;".csv]nfl_predict_outcome"&amp;$C53&amp;"'!A2"),$B53,K$1)</f>
        <v>against</v>
      </c>
      <c r="L53" cm="1">
        <f t="array" aca="1" ref="L53" ca="1">OFFSET(INDIRECT("'G:\My Drive\nfl-model-site\data\[nfl_predict_outcome"&amp;$C53&amp;".csv]nfl_predict_outcome"&amp;$C53&amp;"'!A2"),$B53,L$1)</f>
        <v>2.7</v>
      </c>
      <c r="M53" cm="1">
        <f t="array" aca="1" ref="M53" ca="1">_xlfn.XLOOKUP($D53&amp;$F53&amp;$E53&amp;$G53,[1]nfl_historical_matchup_data!$B:$B&amp;[1]nfl_historical_matchup_data!$C:$C&amp;[1]nfl_historical_matchup_data!$L:$L&amp;[1]nfl_historical_matchup_data!$E:$E,[1]nfl_historical_matchup_data!$I:$I)</f>
        <v>27</v>
      </c>
      <c r="N53" cm="1">
        <f t="array" aca="1" ref="N53" ca="1">_xlfn.XLOOKUP($D53&amp;$F53&amp;$E53&amp;$G53,[1]nfl_historical_matchup_data!$B:$B&amp;[1]nfl_historical_matchup_data!$C:$C&amp;[1]nfl_historical_matchup_data!$L:$L&amp;[1]nfl_historical_matchup_data!$E:$E,[1]nfl_historical_matchup_data!$J:$J)</f>
        <v>24</v>
      </c>
      <c r="O53" t="str">
        <f t="shared" ca="1" si="4"/>
        <v>CLE</v>
      </c>
      <c r="P53" t="str">
        <f t="shared" ca="1" si="5"/>
        <v>PIT</v>
      </c>
      <c r="Q53">
        <f t="shared" ca="1" si="6"/>
        <v>29.7</v>
      </c>
      <c r="R53">
        <f t="shared" ca="1" si="7"/>
        <v>24</v>
      </c>
      <c r="S53" t="str">
        <f t="shared" ca="1" si="8"/>
        <v>Win</v>
      </c>
    </row>
    <row r="54" spans="1:19" x14ac:dyDescent="0.35">
      <c r="A54">
        <f t="shared" ca="1" si="1"/>
        <v>16</v>
      </c>
      <c r="B54">
        <f t="shared" si="17"/>
        <v>3</v>
      </c>
      <c r="C54" t="str">
        <f t="shared" si="18"/>
        <v>2026w4p0</v>
      </c>
      <c r="D54">
        <v>2026</v>
      </c>
      <c r="E54">
        <v>0</v>
      </c>
      <c r="F54">
        <v>4</v>
      </c>
      <c r="G54" t="str" cm="1">
        <f t="array" aca="1" ref="G54" ca="1">OFFSET(INDIRECT("'G:\My Drive\nfl-model-site\data\[nfl_predict_outcome"&amp;$C54&amp;".csv]nfl_predict_outcome"&amp;$C54&amp;"'!A2"),$B54,G$1)</f>
        <v>CIN</v>
      </c>
      <c r="H54" t="str" cm="1">
        <f t="array" aca="1" ref="H54" ca="1">OFFSET(INDIRECT("'G:\My Drive\nfl-model-site\data\[nfl_predict_outcome"&amp;$C54&amp;".csv]nfl_predict_outcome"&amp;$C54&amp;"'!A2"),$B54,H$1)</f>
        <v>JAX</v>
      </c>
      <c r="I54" t="str" cm="1">
        <f t="array" aca="1" ref="I54" ca="1">OFFSET(INDIRECT("'G:\My Drive\nfl-model-site\data\[nfl_predict_outcome"&amp;$C54&amp;".csv]nfl_predict_outcome"&amp;$C54&amp;"'!A2"),$B54,I$1)</f>
        <v>CIN</v>
      </c>
      <c r="J54" cm="1">
        <f t="array" aca="1" ref="J54" ca="1">OFFSET(INDIRECT("'G:\My Drive\nfl-model-site\data\[nfl_predict_outcome"&amp;$C54&amp;".csv]nfl_predict_outcome"&amp;$C54&amp;"'!A2"),$B54,J$1)</f>
        <v>-1.4</v>
      </c>
      <c r="K54" t="str" cm="1">
        <f t="array" aca="1" ref="K54" ca="1">OFFSET(INDIRECT("'G:\My Drive\nfl-model-site\data\[nfl_predict_outcome"&amp;$C54&amp;".csv]nfl_predict_outcome"&amp;$C54&amp;"'!A2"),$B54,K$1)</f>
        <v>with</v>
      </c>
      <c r="L54" cm="1">
        <f t="array" aca="1" ref="L54" ca="1">OFFSET(INDIRECT("'G:\My Drive\nfl-model-site\data\[nfl_predict_outcome"&amp;$C54&amp;".csv]nfl_predict_outcome"&amp;$C54&amp;"'!A2"),$B54,L$1)</f>
        <v>-2.5</v>
      </c>
      <c r="M54" cm="1">
        <f t="array" aca="1" ref="M54" ca="1">_xlfn.XLOOKUP($D54&amp;$F54&amp;$E54&amp;$G54,[1]nfl_historical_matchup_data!$B:$B&amp;[1]nfl_historical_matchup_data!$C:$C&amp;[1]nfl_historical_matchup_data!$L:$L&amp;[1]nfl_historical_matchup_data!$E:$E,[1]nfl_historical_matchup_data!$I:$I)</f>
        <v>17</v>
      </c>
      <c r="N54" cm="1">
        <f t="array" aca="1" ref="N54" ca="1">_xlfn.XLOOKUP($D54&amp;$F54&amp;$E54&amp;$G54,[1]nfl_historical_matchup_data!$B:$B&amp;[1]nfl_historical_matchup_data!$C:$C&amp;[1]nfl_historical_matchup_data!$L:$L&amp;[1]nfl_historical_matchup_data!$E:$E,[1]nfl_historical_matchup_data!$J:$J)</f>
        <v>22</v>
      </c>
      <c r="O54" t="str">
        <f t="shared" ca="1" si="4"/>
        <v>JAX</v>
      </c>
      <c r="P54" t="str">
        <f t="shared" ca="1" si="5"/>
        <v>CIN</v>
      </c>
      <c r="Q54">
        <f t="shared" ca="1" si="6"/>
        <v>17</v>
      </c>
      <c r="R54">
        <f t="shared" ca="1" si="7"/>
        <v>24.5</v>
      </c>
      <c r="S54" t="str">
        <f t="shared" ca="1" si="8"/>
        <v>Win</v>
      </c>
    </row>
    <row r="55" spans="1:19" x14ac:dyDescent="0.35">
      <c r="A55">
        <f t="shared" ca="1" si="1"/>
        <v>16</v>
      </c>
      <c r="B55">
        <f t="shared" si="17"/>
        <v>4</v>
      </c>
      <c r="C55" t="str">
        <f t="shared" si="18"/>
        <v>2026w4p0</v>
      </c>
      <c r="D55">
        <v>2026</v>
      </c>
      <c r="E55">
        <v>0</v>
      </c>
      <c r="F55">
        <v>4</v>
      </c>
      <c r="G55" t="str" cm="1">
        <f t="array" aca="1" ref="G55" ca="1">OFFSET(INDIRECT("'G:\My Drive\nfl-model-site\data\[nfl_predict_outcome"&amp;$C55&amp;".csv]nfl_predict_outcome"&amp;$C55&amp;"'!A2"),$B55,G$1)</f>
        <v>HOU</v>
      </c>
      <c r="H55" t="str" cm="1">
        <f t="array" aca="1" ref="H55" ca="1">OFFSET(INDIRECT("'G:\My Drive\nfl-model-site\data\[nfl_predict_outcome"&amp;$C55&amp;".csv]nfl_predict_outcome"&amp;$C55&amp;"'!A2"),$B55,H$1)</f>
        <v>DAL</v>
      </c>
      <c r="I55" t="str" cm="1">
        <f t="array" aca="1" ref="I55" ca="1">OFFSET(INDIRECT("'G:\My Drive\nfl-model-site\data\[nfl_predict_outcome"&amp;$C55&amp;".csv]nfl_predict_outcome"&amp;$C55&amp;"'!A2"),$B55,I$1)</f>
        <v>DAL</v>
      </c>
      <c r="J55" cm="1">
        <f t="array" aca="1" ref="J55" ca="1">OFFSET(INDIRECT("'G:\My Drive\nfl-model-site\data\[nfl_predict_outcome"&amp;$C55&amp;".csv]nfl_predict_outcome"&amp;$C55&amp;"'!A2"),$B55,J$1)</f>
        <v>-6.3</v>
      </c>
      <c r="K55" t="str" cm="1">
        <f t="array" aca="1" ref="K55" ca="1">OFFSET(INDIRECT("'G:\My Drive\nfl-model-site\data\[nfl_predict_outcome"&amp;$C55&amp;".csv]nfl_predict_outcome"&amp;$C55&amp;"'!A2"),$B55,K$1)</f>
        <v>against</v>
      </c>
      <c r="L55" cm="1">
        <f t="array" aca="1" ref="L55" ca="1">OFFSET(INDIRECT("'G:\My Drive\nfl-model-site\data\[nfl_predict_outcome"&amp;$C55&amp;".csv]nfl_predict_outcome"&amp;$C55&amp;"'!A2"),$B55,L$1)</f>
        <v>3</v>
      </c>
      <c r="M55" cm="1">
        <f t="array" aca="1" ref="M55" ca="1">_xlfn.XLOOKUP($D55&amp;$F55&amp;$E55&amp;$G55,[1]nfl_historical_matchup_data!$B:$B&amp;[1]nfl_historical_matchup_data!$C:$C&amp;[1]nfl_historical_matchup_data!$L:$L&amp;[1]nfl_historical_matchup_data!$E:$E,[1]nfl_historical_matchup_data!$I:$I)</f>
        <v>30</v>
      </c>
      <c r="N55" cm="1">
        <f t="array" aca="1" ref="N55" ca="1">_xlfn.XLOOKUP($D55&amp;$F55&amp;$E55&amp;$G55,[1]nfl_historical_matchup_data!$B:$B&amp;[1]nfl_historical_matchup_data!$C:$C&amp;[1]nfl_historical_matchup_data!$L:$L&amp;[1]nfl_historical_matchup_data!$E:$E,[1]nfl_historical_matchup_data!$J:$J)</f>
        <v>34</v>
      </c>
      <c r="O55" t="str">
        <f t="shared" ca="1" si="4"/>
        <v>DAL</v>
      </c>
      <c r="P55" t="str">
        <f t="shared" ca="1" si="5"/>
        <v>HOU</v>
      </c>
      <c r="Q55">
        <f t="shared" ca="1" si="6"/>
        <v>30</v>
      </c>
      <c r="R55">
        <f t="shared" ca="1" si="7"/>
        <v>37</v>
      </c>
      <c r="S55" t="str">
        <f t="shared" ca="1" si="8"/>
        <v>Win</v>
      </c>
    </row>
    <row r="56" spans="1:19" x14ac:dyDescent="0.35">
      <c r="A56">
        <f t="shared" ca="1" si="1"/>
        <v>16</v>
      </c>
      <c r="B56">
        <f t="shared" si="17"/>
        <v>5</v>
      </c>
      <c r="C56" t="str">
        <f t="shared" si="18"/>
        <v>2026w4p0</v>
      </c>
      <c r="D56">
        <v>2026</v>
      </c>
      <c r="E56">
        <v>0</v>
      </c>
      <c r="F56">
        <v>4</v>
      </c>
      <c r="G56" t="str" cm="1">
        <f t="array" aca="1" ref="G56" ca="1">OFFSET(INDIRECT("'G:\My Drive\nfl-model-site\data\[nfl_predict_outcome"&amp;$C56&amp;".csv]nfl_predict_outcome"&amp;$C56&amp;"'!A2"),$B56,G$1)</f>
        <v>LV</v>
      </c>
      <c r="H56" t="str" cm="1">
        <f t="array" aca="1" ref="H56" ca="1">OFFSET(INDIRECT("'G:\My Drive\nfl-model-site\data\[nfl_predict_outcome"&amp;$C56&amp;".csv]nfl_predict_outcome"&amp;$C56&amp;"'!A2"),$B56,H$1)</f>
        <v>KC</v>
      </c>
      <c r="I56" t="str" cm="1">
        <f t="array" aca="1" ref="I56" ca="1">OFFSET(INDIRECT("'G:\My Drive\nfl-model-site\data\[nfl_predict_outcome"&amp;$C56&amp;".csv]nfl_predict_outcome"&amp;$C56&amp;"'!A2"),$B56,I$1)</f>
        <v>KC</v>
      </c>
      <c r="J56" cm="1">
        <f t="array" aca="1" ref="J56" ca="1">OFFSET(INDIRECT("'G:\My Drive\nfl-model-site\data\[nfl_predict_outcome"&amp;$C56&amp;".csv]nfl_predict_outcome"&amp;$C56&amp;"'!A2"),$B56,J$1)</f>
        <v>-3.3</v>
      </c>
      <c r="K56" t="str" cm="1">
        <f t="array" aca="1" ref="K56" ca="1">OFFSET(INDIRECT("'G:\My Drive\nfl-model-site\data\[nfl_predict_outcome"&amp;$C56&amp;".csv]nfl_predict_outcome"&amp;$C56&amp;"'!A2"),$B56,K$1)</f>
        <v>with</v>
      </c>
      <c r="L56" cm="1">
        <f t="array" aca="1" ref="L56" ca="1">OFFSET(INDIRECT("'G:\My Drive\nfl-model-site\data\[nfl_predict_outcome"&amp;$C56&amp;".csv]nfl_predict_outcome"&amp;$C56&amp;"'!A2"),$B56,L$1)</f>
        <v>-4.5</v>
      </c>
      <c r="M56" cm="1">
        <f t="array" aca="1" ref="M56" ca="1">_xlfn.XLOOKUP($D56&amp;$F56&amp;$E56&amp;$G56,[1]nfl_historical_matchup_data!$B:$B&amp;[1]nfl_historical_matchup_data!$C:$C&amp;[1]nfl_historical_matchup_data!$L:$L&amp;[1]nfl_historical_matchup_data!$E:$E,[1]nfl_historical_matchup_data!$I:$I)</f>
        <v>27</v>
      </c>
      <c r="N56" cm="1">
        <f t="array" aca="1" ref="N56" ca="1">_xlfn.XLOOKUP($D56&amp;$F56&amp;$E56&amp;$G56,[1]nfl_historical_matchup_data!$B:$B&amp;[1]nfl_historical_matchup_data!$C:$C&amp;[1]nfl_historical_matchup_data!$L:$L&amp;[1]nfl_historical_matchup_data!$E:$E,[1]nfl_historical_matchup_data!$J:$J)</f>
        <v>30</v>
      </c>
      <c r="O56" t="str">
        <f t="shared" ca="1" si="4"/>
        <v>LV</v>
      </c>
      <c r="P56" t="str">
        <f t="shared" ca="1" si="5"/>
        <v>KC</v>
      </c>
      <c r="Q56">
        <f t="shared" ca="1" si="6"/>
        <v>31.5</v>
      </c>
      <c r="R56">
        <f t="shared" ca="1" si="7"/>
        <v>30</v>
      </c>
      <c r="S56" t="str">
        <f t="shared" ca="1" si="8"/>
        <v>Win</v>
      </c>
    </row>
    <row r="57" spans="1:19" x14ac:dyDescent="0.35">
      <c r="A57">
        <f t="shared" ca="1" si="1"/>
        <v>16</v>
      </c>
      <c r="B57">
        <f t="shared" si="17"/>
        <v>6</v>
      </c>
      <c r="C57" t="str">
        <f t="shared" si="18"/>
        <v>2026w4p0</v>
      </c>
      <c r="D57">
        <v>2026</v>
      </c>
      <c r="E57">
        <v>0</v>
      </c>
      <c r="F57">
        <v>4</v>
      </c>
      <c r="G57" t="str" cm="1">
        <f t="array" aca="1" ref="G57" ca="1">OFFSET(INDIRECT("'G:\My Drive\nfl-model-site\data\[nfl_predict_outcome"&amp;$C57&amp;".csv]nfl_predict_outcome"&amp;$C57&amp;"'!A2"),$B57,G$1)</f>
        <v>PHI</v>
      </c>
      <c r="H57" t="str" cm="1">
        <f t="array" aca="1" ref="H57" ca="1">OFFSET(INDIRECT("'G:\My Drive\nfl-model-site\data\[nfl_predict_outcome"&amp;$C57&amp;".csv]nfl_predict_outcome"&amp;$C57&amp;"'!A2"),$B57,H$1)</f>
        <v>LAR</v>
      </c>
      <c r="I57" t="str" cm="1">
        <f t="array" aca="1" ref="I57" ca="1">OFFSET(INDIRECT("'G:\My Drive\nfl-model-site\data\[nfl_predict_outcome"&amp;$C57&amp;".csv]nfl_predict_outcome"&amp;$C57&amp;"'!A2"),$B57,I$1)</f>
        <v>LAR</v>
      </c>
      <c r="J57" cm="1">
        <f t="array" aca="1" ref="J57" ca="1">OFFSET(INDIRECT("'G:\My Drive\nfl-model-site\data\[nfl_predict_outcome"&amp;$C57&amp;".csv]nfl_predict_outcome"&amp;$C57&amp;"'!A2"),$B57,J$1)</f>
        <v>-4.0999999999999996</v>
      </c>
      <c r="K57" t="str" cm="1">
        <f t="array" aca="1" ref="K57" ca="1">OFFSET(INDIRECT("'G:\My Drive\nfl-model-site\data\[nfl_predict_outcome"&amp;$C57&amp;".csv]nfl_predict_outcome"&amp;$C57&amp;"'!A2"),$B57,K$1)</f>
        <v>with</v>
      </c>
      <c r="L57" cm="1">
        <f t="array" aca="1" ref="L57" ca="1">OFFSET(INDIRECT("'G:\My Drive\nfl-model-site\data\[nfl_predict_outcome"&amp;$C57&amp;".csv]nfl_predict_outcome"&amp;$C57&amp;"'!A2"),$B57,L$1)</f>
        <v>-3.5</v>
      </c>
      <c r="M57" cm="1">
        <f t="array" aca="1" ref="M57" ca="1">_xlfn.XLOOKUP($D57&amp;$F57&amp;$E57&amp;$G57,[1]nfl_historical_matchup_data!$B:$B&amp;[1]nfl_historical_matchup_data!$C:$C&amp;[1]nfl_historical_matchup_data!$L:$L&amp;[1]nfl_historical_matchup_data!$E:$E,[1]nfl_historical_matchup_data!$I:$I)</f>
        <v>20</v>
      </c>
      <c r="N57" cm="1">
        <f t="array" aca="1" ref="N57" ca="1">_xlfn.XLOOKUP($D57&amp;$F57&amp;$E57&amp;$G57,[1]nfl_historical_matchup_data!$B:$B&amp;[1]nfl_historical_matchup_data!$C:$C&amp;[1]nfl_historical_matchup_data!$L:$L&amp;[1]nfl_historical_matchup_data!$E:$E,[1]nfl_historical_matchup_data!$J:$J)</f>
        <v>24</v>
      </c>
      <c r="O57" t="str">
        <f t="shared" ca="1" si="4"/>
        <v>LAR</v>
      </c>
      <c r="P57" t="str">
        <f t="shared" ca="1" si="5"/>
        <v>LAR</v>
      </c>
      <c r="Q57">
        <f t="shared" ca="1" si="6"/>
        <v>23.5</v>
      </c>
      <c r="R57">
        <f t="shared" ca="1" si="7"/>
        <v>24</v>
      </c>
      <c r="S57" t="str">
        <f t="shared" ca="1" si="8"/>
        <v>Win</v>
      </c>
    </row>
    <row r="58" spans="1:19" x14ac:dyDescent="0.35">
      <c r="A58">
        <f t="shared" ca="1" si="1"/>
        <v>16</v>
      </c>
      <c r="B58">
        <f t="shared" si="17"/>
        <v>7</v>
      </c>
      <c r="C58" t="str">
        <f t="shared" si="18"/>
        <v>2026w4p0</v>
      </c>
      <c r="D58">
        <v>2026</v>
      </c>
      <c r="E58">
        <v>0</v>
      </c>
      <c r="F58">
        <v>4</v>
      </c>
      <c r="G58" t="str" cm="1">
        <f t="array" aca="1" ref="G58" ca="1">OFFSET(INDIRECT("'G:\My Drive\nfl-model-site\data\[nfl_predict_outcome"&amp;$C58&amp;".csv]nfl_predict_outcome"&amp;$C58&amp;"'!A2"),$B58,G$1)</f>
        <v>NYG</v>
      </c>
      <c r="H58" t="str" cm="1">
        <f t="array" aca="1" ref="H58" ca="1">OFFSET(INDIRECT("'G:\My Drive\nfl-model-site\data\[nfl_predict_outcome"&amp;$C58&amp;".csv]nfl_predict_outcome"&amp;$C58&amp;"'!A2"),$B58,H$1)</f>
        <v>ARI</v>
      </c>
      <c r="I58" t="str" cm="1">
        <f t="array" aca="1" ref="I58" ca="1">OFFSET(INDIRECT("'G:\My Drive\nfl-model-site\data\[nfl_predict_outcome"&amp;$C58&amp;".csv]nfl_predict_outcome"&amp;$C58&amp;"'!A2"),$B58,I$1)</f>
        <v>NYG</v>
      </c>
      <c r="J58" cm="1">
        <f t="array" aca="1" ref="J58" ca="1">OFFSET(INDIRECT("'G:\My Drive\nfl-model-site\data\[nfl_predict_outcome"&amp;$C58&amp;".csv]nfl_predict_outcome"&amp;$C58&amp;"'!A2"),$B58,J$1)</f>
        <v>-2.2000000000000002</v>
      </c>
      <c r="K58" t="str" cm="1">
        <f t="array" aca="1" ref="K58" ca="1">OFFSET(INDIRECT("'G:\My Drive\nfl-model-site\data\[nfl_predict_outcome"&amp;$C58&amp;".csv]nfl_predict_outcome"&amp;$C58&amp;"'!A2"),$B58,K$1)</f>
        <v>against</v>
      </c>
      <c r="L58" cm="1">
        <f t="array" aca="1" ref="L58" ca="1">OFFSET(INDIRECT("'G:\My Drive\nfl-model-site\data\[nfl_predict_outcome"&amp;$C58&amp;".csv]nfl_predict_outcome"&amp;$C58&amp;"'!A2"),$B58,L$1)</f>
        <v>2.5</v>
      </c>
      <c r="M58" cm="1">
        <f t="array" aca="1" ref="M58" ca="1">_xlfn.XLOOKUP($D58&amp;$F58&amp;$E58&amp;$G58,[1]nfl_historical_matchup_data!$B:$B&amp;[1]nfl_historical_matchup_data!$C:$C&amp;[1]nfl_historical_matchup_data!$L:$L&amp;[1]nfl_historical_matchup_data!$E:$E,[1]nfl_historical_matchup_data!$I:$I)</f>
        <v>36</v>
      </c>
      <c r="N58" cm="1">
        <f t="array" aca="1" ref="N58" ca="1">_xlfn.XLOOKUP($D58&amp;$F58&amp;$E58&amp;$G58,[1]nfl_historical_matchup_data!$B:$B&amp;[1]nfl_historical_matchup_data!$C:$C&amp;[1]nfl_historical_matchup_data!$L:$L&amp;[1]nfl_historical_matchup_data!$E:$E,[1]nfl_historical_matchup_data!$J:$J)</f>
        <v>24</v>
      </c>
      <c r="O58" t="str">
        <f t="shared" ca="1" si="4"/>
        <v>NYG</v>
      </c>
      <c r="P58" t="str">
        <f t="shared" ca="1" si="5"/>
        <v>ARI</v>
      </c>
      <c r="Q58">
        <f t="shared" ca="1" si="6"/>
        <v>38.5</v>
      </c>
      <c r="R58">
        <f t="shared" ca="1" si="7"/>
        <v>24</v>
      </c>
      <c r="S58" t="str">
        <f t="shared" ca="1" si="8"/>
        <v>Win</v>
      </c>
    </row>
    <row r="59" spans="1:19" x14ac:dyDescent="0.35">
      <c r="A59">
        <f t="shared" ca="1" si="1"/>
        <v>16</v>
      </c>
      <c r="B59">
        <f t="shared" si="17"/>
        <v>8</v>
      </c>
      <c r="C59" t="str">
        <f t="shared" si="18"/>
        <v>2026w4p0</v>
      </c>
      <c r="D59">
        <v>2026</v>
      </c>
      <c r="E59">
        <v>0</v>
      </c>
      <c r="F59">
        <v>4</v>
      </c>
      <c r="G59" t="str" cm="1">
        <f t="array" aca="1" ref="G59" ca="1">OFFSET(INDIRECT("'G:\My Drive\nfl-model-site\data\[nfl_predict_outcome"&amp;$C59&amp;".csv]nfl_predict_outcome"&amp;$C59&amp;"'!A2"),$B59,G$1)</f>
        <v>WSH</v>
      </c>
      <c r="H59" t="str" cm="1">
        <f t="array" aca="1" ref="H59" ca="1">OFFSET(INDIRECT("'G:\My Drive\nfl-model-site\data\[nfl_predict_outcome"&amp;$C59&amp;".csv]nfl_predict_outcome"&amp;$C59&amp;"'!A2"),$B59,H$1)</f>
        <v>IND</v>
      </c>
      <c r="I59" t="str" cm="1">
        <f t="array" aca="1" ref="I59" ca="1">OFFSET(INDIRECT("'G:\My Drive\nfl-model-site\data\[nfl_predict_outcome"&amp;$C59&amp;".csv]nfl_predict_outcome"&amp;$C59&amp;"'!A2"),$B59,I$1)</f>
        <v>WSH</v>
      </c>
      <c r="J59" cm="1">
        <f t="array" aca="1" ref="J59" ca="1">OFFSET(INDIRECT("'G:\My Drive\nfl-model-site\data\[nfl_predict_outcome"&amp;$C59&amp;".csv]nfl_predict_outcome"&amp;$C59&amp;"'!A2"),$B59,J$1)</f>
        <v>-2</v>
      </c>
      <c r="K59" t="str" cm="1">
        <f t="array" aca="1" ref="K59" ca="1">OFFSET(INDIRECT("'G:\My Drive\nfl-model-site\data\[nfl_predict_outcome"&amp;$C59&amp;".csv]nfl_predict_outcome"&amp;$C59&amp;"'!A2"),$B59,K$1)</f>
        <v>against</v>
      </c>
      <c r="L59" cm="1">
        <f t="array" aca="1" ref="L59" ca="1">OFFSET(INDIRECT("'G:\My Drive\nfl-model-site\data\[nfl_predict_outcome"&amp;$C59&amp;".csv]nfl_predict_outcome"&amp;$C59&amp;"'!A2"),$B59,L$1)</f>
        <v>4.5</v>
      </c>
      <c r="M59" cm="1">
        <f t="array" aca="1" ref="M59" ca="1">_xlfn.XLOOKUP($D59&amp;$F59&amp;$E59&amp;$G59,[1]nfl_historical_matchup_data!$B:$B&amp;[1]nfl_historical_matchup_data!$C:$C&amp;[1]nfl_historical_matchup_data!$L:$L&amp;[1]nfl_historical_matchup_data!$E:$E,[1]nfl_historical_matchup_data!$I:$I)</f>
        <v>13</v>
      </c>
      <c r="N59" cm="1">
        <f t="array" aca="1" ref="N59" ca="1">_xlfn.XLOOKUP($D59&amp;$F59&amp;$E59&amp;$G59,[1]nfl_historical_matchup_data!$B:$B&amp;[1]nfl_historical_matchup_data!$C:$C&amp;[1]nfl_historical_matchup_data!$L:$L&amp;[1]nfl_historical_matchup_data!$E:$E,[1]nfl_historical_matchup_data!$J:$J)</f>
        <v>30</v>
      </c>
      <c r="O59" t="str">
        <f t="shared" ca="1" si="4"/>
        <v>WSH</v>
      </c>
      <c r="P59" t="str">
        <f t="shared" ca="1" si="5"/>
        <v>IND</v>
      </c>
      <c r="Q59">
        <f t="shared" ca="1" si="6"/>
        <v>17.5</v>
      </c>
      <c r="R59">
        <f t="shared" ca="1" si="7"/>
        <v>30</v>
      </c>
      <c r="S59" t="str">
        <f t="shared" ca="1" si="8"/>
        <v>Lose</v>
      </c>
    </row>
    <row r="60" spans="1:19" x14ac:dyDescent="0.35">
      <c r="A60">
        <f t="shared" ca="1" si="1"/>
        <v>16</v>
      </c>
      <c r="B60">
        <f t="shared" si="17"/>
        <v>9</v>
      </c>
      <c r="C60" t="str">
        <f t="shared" si="18"/>
        <v>2026w4p0</v>
      </c>
      <c r="D60">
        <v>2026</v>
      </c>
      <c r="E60">
        <v>0</v>
      </c>
      <c r="F60">
        <v>4</v>
      </c>
      <c r="G60" t="str" cm="1">
        <f t="array" aca="1" ref="G60" ca="1">OFFSET(INDIRECT("'G:\My Drive\nfl-model-site\data\[nfl_predict_outcome"&amp;$C60&amp;".csv]nfl_predict_outcome"&amp;$C60&amp;"'!A2"),$B60,G$1)</f>
        <v>MIN</v>
      </c>
      <c r="H60" t="str" cm="1">
        <f t="array" aca="1" ref="H60" ca="1">OFFSET(INDIRECT("'G:\My Drive\nfl-model-site\data\[nfl_predict_outcome"&amp;$C60&amp;".csv]nfl_predict_outcome"&amp;$C60&amp;"'!A2"),$B60,H$1)</f>
        <v>MIA</v>
      </c>
      <c r="I60" t="str" cm="1">
        <f t="array" aca="1" ref="I60" ca="1">OFFSET(INDIRECT("'G:\My Drive\nfl-model-site\data\[nfl_predict_outcome"&amp;$C60&amp;".csv]nfl_predict_outcome"&amp;$C60&amp;"'!A2"),$B60,I$1)</f>
        <v>MIN</v>
      </c>
      <c r="J60" cm="1">
        <f t="array" aca="1" ref="J60" ca="1">OFFSET(INDIRECT("'G:\My Drive\nfl-model-site\data\[nfl_predict_outcome"&amp;$C60&amp;".csv]nfl_predict_outcome"&amp;$C60&amp;"'!A2"),$B60,J$1)</f>
        <v>-1.7</v>
      </c>
      <c r="K60" t="str" cm="1">
        <f t="array" aca="1" ref="K60" ca="1">OFFSET(INDIRECT("'G:\My Drive\nfl-model-site\data\[nfl_predict_outcome"&amp;$C60&amp;".csv]nfl_predict_outcome"&amp;$C60&amp;"'!A2"),$B60,K$1)</f>
        <v>with</v>
      </c>
      <c r="L60" cm="1">
        <f t="array" aca="1" ref="L60" ca="1">OFFSET(INDIRECT("'G:\My Drive\nfl-model-site\data\[nfl_predict_outcome"&amp;$C60&amp;".csv]nfl_predict_outcome"&amp;$C60&amp;"'!A2"),$B60,L$1)</f>
        <v>-9.8000000000000007</v>
      </c>
      <c r="M60" cm="1">
        <f t="array" aca="1" ref="M60" ca="1">_xlfn.XLOOKUP($D60&amp;$F60&amp;$E60&amp;$G60,[1]nfl_historical_matchup_data!$B:$B&amp;[1]nfl_historical_matchup_data!$C:$C&amp;[1]nfl_historical_matchup_data!$L:$L&amp;[1]nfl_historical_matchup_data!$E:$E,[1]nfl_historical_matchup_data!$I:$I)</f>
        <v>15</v>
      </c>
      <c r="N60" cm="1">
        <f t="array" aca="1" ref="N60" ca="1">_xlfn.XLOOKUP($D60&amp;$F60&amp;$E60&amp;$G60,[1]nfl_historical_matchup_data!$B:$B&amp;[1]nfl_historical_matchup_data!$C:$C&amp;[1]nfl_historical_matchup_data!$L:$L&amp;[1]nfl_historical_matchup_data!$E:$E,[1]nfl_historical_matchup_data!$J:$J)</f>
        <v>10</v>
      </c>
      <c r="O60" t="str">
        <f t="shared" ca="1" si="4"/>
        <v>MIA</v>
      </c>
      <c r="P60" t="str">
        <f t="shared" ca="1" si="5"/>
        <v>MIN</v>
      </c>
      <c r="Q60">
        <f t="shared" ca="1" si="6"/>
        <v>15</v>
      </c>
      <c r="R60">
        <f t="shared" ca="1" si="7"/>
        <v>19.8</v>
      </c>
      <c r="S60" t="str">
        <f t="shared" ca="1" si="8"/>
        <v>Win</v>
      </c>
    </row>
    <row r="61" spans="1:19" x14ac:dyDescent="0.35">
      <c r="A61">
        <f t="shared" ca="1" si="1"/>
        <v>16</v>
      </c>
      <c r="B61">
        <f t="shared" si="17"/>
        <v>10</v>
      </c>
      <c r="C61" t="str">
        <f t="shared" si="18"/>
        <v>2026w4p0</v>
      </c>
      <c r="D61">
        <v>2026</v>
      </c>
      <c r="E61">
        <v>0</v>
      </c>
      <c r="F61">
        <v>4</v>
      </c>
      <c r="G61" t="str" cm="1">
        <f t="array" aca="1" ref="G61" ca="1">OFFSET(INDIRECT("'G:\My Drive\nfl-model-site\data\[nfl_predict_outcome"&amp;$C61&amp;".csv]nfl_predict_outcome"&amp;$C61&amp;"'!A2"),$B61,G$1)</f>
        <v>CHI</v>
      </c>
      <c r="H61" t="str" cm="1">
        <f t="array" aca="1" ref="H61" ca="1">OFFSET(INDIRECT("'G:\My Drive\nfl-model-site\data\[nfl_predict_outcome"&amp;$C61&amp;".csv]nfl_predict_outcome"&amp;$C61&amp;"'!A2"),$B61,H$1)</f>
        <v>NYJ</v>
      </c>
      <c r="I61" t="str" cm="1">
        <f t="array" aca="1" ref="I61" ca="1">OFFSET(INDIRECT("'G:\My Drive\nfl-model-site\data\[nfl_predict_outcome"&amp;$C61&amp;".csv]nfl_predict_outcome"&amp;$C61&amp;"'!A2"),$B61,I$1)</f>
        <v>CHI</v>
      </c>
      <c r="J61" cm="1">
        <f t="array" aca="1" ref="J61" ca="1">OFFSET(INDIRECT("'G:\My Drive\nfl-model-site\data\[nfl_predict_outcome"&amp;$C61&amp;".csv]nfl_predict_outcome"&amp;$C61&amp;"'!A2"),$B61,J$1)</f>
        <v>-7.1</v>
      </c>
      <c r="K61" t="str" cm="1">
        <f t="array" aca="1" ref="K61" ca="1">OFFSET(INDIRECT("'G:\My Drive\nfl-model-site\data\[nfl_predict_outcome"&amp;$C61&amp;".csv]nfl_predict_outcome"&amp;$C61&amp;"'!A2"),$B61,K$1)</f>
        <v>with</v>
      </c>
      <c r="L61" cm="1">
        <f t="array" aca="1" ref="L61" ca="1">OFFSET(INDIRECT("'G:\My Drive\nfl-model-site\data\[nfl_predict_outcome"&amp;$C61&amp;".csv]nfl_predict_outcome"&amp;$C61&amp;"'!A2"),$B61,L$1)</f>
        <v>-3.5</v>
      </c>
      <c r="M61" cm="1">
        <f t="array" aca="1" ref="M61" ca="1">_xlfn.XLOOKUP($D61&amp;$F61&amp;$E61&amp;$G61,[1]nfl_historical_matchup_data!$B:$B&amp;[1]nfl_historical_matchup_data!$C:$C&amp;[1]nfl_historical_matchup_data!$L:$L&amp;[1]nfl_historical_matchup_data!$E:$E,[1]nfl_historical_matchup_data!$I:$I)</f>
        <v>23</v>
      </c>
      <c r="N61" cm="1">
        <f t="array" aca="1" ref="N61" ca="1">_xlfn.XLOOKUP($D61&amp;$F61&amp;$E61&amp;$G61,[1]nfl_historical_matchup_data!$B:$B&amp;[1]nfl_historical_matchup_data!$C:$C&amp;[1]nfl_historical_matchup_data!$L:$L&amp;[1]nfl_historical_matchup_data!$E:$E,[1]nfl_historical_matchup_data!$J:$J)</f>
        <v>12</v>
      </c>
      <c r="O61" t="str">
        <f t="shared" ca="1" si="4"/>
        <v>CHI</v>
      </c>
      <c r="P61" t="str">
        <f t="shared" ca="1" si="5"/>
        <v>CHI</v>
      </c>
      <c r="Q61">
        <f t="shared" ca="1" si="6"/>
        <v>23</v>
      </c>
      <c r="R61">
        <f t="shared" ca="1" si="7"/>
        <v>15.5</v>
      </c>
      <c r="S61" t="str">
        <f t="shared" ca="1" si="8"/>
        <v>Win</v>
      </c>
    </row>
    <row r="62" spans="1:19" x14ac:dyDescent="0.35">
      <c r="A62">
        <f t="shared" ca="1" si="1"/>
        <v>16</v>
      </c>
      <c r="B62">
        <f t="shared" si="17"/>
        <v>11</v>
      </c>
      <c r="C62" t="str">
        <f t="shared" si="18"/>
        <v>2026w4p0</v>
      </c>
      <c r="D62">
        <v>2026</v>
      </c>
      <c r="E62">
        <v>0</v>
      </c>
      <c r="F62">
        <v>4</v>
      </c>
      <c r="G62" t="str" cm="1">
        <f t="array" aca="1" ref="G62" ca="1">OFFSET(INDIRECT("'G:\My Drive\nfl-model-site\data\[nfl_predict_outcome"&amp;$C62&amp;".csv]nfl_predict_outcome"&amp;$C62&amp;"'!A2"),$B62,G$1)</f>
        <v>NO</v>
      </c>
      <c r="H62" t="str" cm="1">
        <f t="array" aca="1" ref="H62" ca="1">OFFSET(INDIRECT("'G:\My Drive\nfl-model-site\data\[nfl_predict_outcome"&amp;$C62&amp;".csv]nfl_predict_outcome"&amp;$C62&amp;"'!A2"),$B62,H$1)</f>
        <v>ATL</v>
      </c>
      <c r="I62" t="str" cm="1">
        <f t="array" aca="1" ref="I62" ca="1">OFFSET(INDIRECT("'G:\My Drive\nfl-model-site\data\[nfl_predict_outcome"&amp;$C62&amp;".csv]nfl_predict_outcome"&amp;$C62&amp;"'!A2"),$B62,I$1)</f>
        <v>ATL</v>
      </c>
      <c r="J62" cm="1">
        <f t="array" aca="1" ref="J62" ca="1">OFFSET(INDIRECT("'G:\My Drive\nfl-model-site\data\[nfl_predict_outcome"&amp;$C62&amp;".csv]nfl_predict_outcome"&amp;$C62&amp;"'!A2"),$B62,J$1)</f>
        <v>-1.2</v>
      </c>
      <c r="K62" t="str" cm="1">
        <f t="array" aca="1" ref="K62" ca="1">OFFSET(INDIRECT("'G:\My Drive\nfl-model-site\data\[nfl_predict_outcome"&amp;$C62&amp;".csv]nfl_predict_outcome"&amp;$C62&amp;"'!A2"),$B62,K$1)</f>
        <v>against</v>
      </c>
      <c r="L62" cm="1">
        <f t="array" aca="1" ref="L62" ca="1">OFFSET(INDIRECT("'G:\My Drive\nfl-model-site\data\[nfl_predict_outcome"&amp;$C62&amp;".csv]nfl_predict_outcome"&amp;$C62&amp;"'!A2"),$B62,L$1)</f>
        <v>1.5</v>
      </c>
      <c r="M62" cm="1">
        <f t="array" aca="1" ref="M62" ca="1">_xlfn.XLOOKUP($D62&amp;$F62&amp;$E62&amp;$G62,[1]nfl_historical_matchup_data!$B:$B&amp;[1]nfl_historical_matchup_data!$C:$C&amp;[1]nfl_historical_matchup_data!$L:$L&amp;[1]nfl_historical_matchup_data!$E:$E,[1]nfl_historical_matchup_data!$I:$I)</f>
        <v>24</v>
      </c>
      <c r="N62" cm="1">
        <f t="array" aca="1" ref="N62" ca="1">_xlfn.XLOOKUP($D62&amp;$F62&amp;$E62&amp;$G62,[1]nfl_historical_matchup_data!$B:$B&amp;[1]nfl_historical_matchup_data!$C:$C&amp;[1]nfl_historical_matchup_data!$L:$L&amp;[1]nfl_historical_matchup_data!$E:$E,[1]nfl_historical_matchup_data!$J:$J)</f>
        <v>45</v>
      </c>
      <c r="O62" t="str">
        <f t="shared" ca="1" si="4"/>
        <v>ATL</v>
      </c>
      <c r="P62" t="str">
        <f t="shared" ca="1" si="5"/>
        <v>NO</v>
      </c>
      <c r="Q62">
        <f t="shared" ca="1" si="6"/>
        <v>24</v>
      </c>
      <c r="R62">
        <f t="shared" ca="1" si="7"/>
        <v>46.5</v>
      </c>
      <c r="S62" t="str">
        <f t="shared" ca="1" si="8"/>
        <v>Win</v>
      </c>
    </row>
    <row r="63" spans="1:19" x14ac:dyDescent="0.35">
      <c r="A63">
        <f t="shared" ca="1" si="1"/>
        <v>16</v>
      </c>
      <c r="B63">
        <f t="shared" si="17"/>
        <v>12</v>
      </c>
      <c r="C63" t="str">
        <f t="shared" si="18"/>
        <v>2026w4p0</v>
      </c>
      <c r="D63">
        <v>2026</v>
      </c>
      <c r="E63">
        <v>0</v>
      </c>
      <c r="F63">
        <v>4</v>
      </c>
      <c r="G63" t="str" cm="1">
        <f t="array" aca="1" ref="G63" ca="1">OFFSET(INDIRECT("'G:\My Drive\nfl-model-site\data\[nfl_predict_outcome"&amp;$C63&amp;".csv]nfl_predict_outcome"&amp;$C63&amp;"'!A2"),$B63,G$1)</f>
        <v>TB</v>
      </c>
      <c r="H63" t="str" cm="1">
        <f t="array" aca="1" ref="H63" ca="1">OFFSET(INDIRECT("'G:\My Drive\nfl-model-site\data\[nfl_predict_outcome"&amp;$C63&amp;".csv]nfl_predict_outcome"&amp;$C63&amp;"'!A2"),$B63,H$1)</f>
        <v>GB</v>
      </c>
      <c r="I63" t="str" cm="1">
        <f t="array" aca="1" ref="I63" ca="1">OFFSET(INDIRECT("'G:\My Drive\nfl-model-site\data\[nfl_predict_outcome"&amp;$C63&amp;".csv]nfl_predict_outcome"&amp;$C63&amp;"'!A2"),$B63,I$1)</f>
        <v>GB</v>
      </c>
      <c r="J63" cm="1">
        <f t="array" aca="1" ref="J63" ca="1">OFFSET(INDIRECT("'G:\My Drive\nfl-model-site\data\[nfl_predict_outcome"&amp;$C63&amp;".csv]nfl_predict_outcome"&amp;$C63&amp;"'!A2"),$B63,J$1)</f>
        <v>-1.5</v>
      </c>
      <c r="K63" t="str" cm="1">
        <f t="array" aca="1" ref="K63" ca="1">OFFSET(INDIRECT("'G:\My Drive\nfl-model-site\data\[nfl_predict_outcome"&amp;$C63&amp;".csv]nfl_predict_outcome"&amp;$C63&amp;"'!A2"),$B63,K$1)</f>
        <v>with</v>
      </c>
      <c r="L63" cm="1">
        <f t="array" aca="1" ref="L63" ca="1">OFFSET(INDIRECT("'G:\My Drive\nfl-model-site\data\[nfl_predict_outcome"&amp;$C63&amp;".csv]nfl_predict_outcome"&amp;$C63&amp;"'!A2"),$B63,L$1)</f>
        <v>-3</v>
      </c>
      <c r="M63" cm="1">
        <f t="array" aca="1" ref="M63" ca="1">_xlfn.XLOOKUP($D63&amp;$F63&amp;$E63&amp;$G63,[1]nfl_historical_matchup_data!$B:$B&amp;[1]nfl_historical_matchup_data!$C:$C&amp;[1]nfl_historical_matchup_data!$L:$L&amp;[1]nfl_historical_matchup_data!$E:$E,[1]nfl_historical_matchup_data!$I:$I)</f>
        <v>14</v>
      </c>
      <c r="N63" cm="1">
        <f t="array" aca="1" ref="N63" ca="1">_xlfn.XLOOKUP($D63&amp;$F63&amp;$E63&amp;$G63,[1]nfl_historical_matchup_data!$B:$B&amp;[1]nfl_historical_matchup_data!$C:$C&amp;[1]nfl_historical_matchup_data!$L:$L&amp;[1]nfl_historical_matchup_data!$E:$E,[1]nfl_historical_matchup_data!$J:$J)</f>
        <v>17</v>
      </c>
      <c r="O63" t="str">
        <f t="shared" ca="1" si="4"/>
        <v>TB</v>
      </c>
      <c r="P63" t="str">
        <f t="shared" ca="1" si="5"/>
        <v>GB</v>
      </c>
      <c r="Q63">
        <f t="shared" ca="1" si="6"/>
        <v>17</v>
      </c>
      <c r="R63">
        <f t="shared" ca="1" si="7"/>
        <v>17</v>
      </c>
      <c r="S63" t="str">
        <f t="shared" ca="1" si="8"/>
        <v>Push</v>
      </c>
    </row>
    <row r="64" spans="1:19" x14ac:dyDescent="0.35">
      <c r="A64">
        <f t="shared" ca="1" si="1"/>
        <v>16</v>
      </c>
      <c r="B64">
        <f t="shared" si="17"/>
        <v>13</v>
      </c>
      <c r="C64" t="str">
        <f t="shared" si="18"/>
        <v>2026w4p0</v>
      </c>
      <c r="D64">
        <v>2026</v>
      </c>
      <c r="E64">
        <v>0</v>
      </c>
      <c r="F64">
        <v>4</v>
      </c>
      <c r="G64" t="str" cm="1">
        <f t="array" aca="1" ref="G64" ca="1">OFFSET(INDIRECT("'G:\My Drive\nfl-model-site\data\[nfl_predict_outcome"&amp;$C64&amp;".csv]nfl_predict_outcome"&amp;$C64&amp;"'!A2"),$B64,G$1)</f>
        <v>CAR</v>
      </c>
      <c r="H64" t="str" cm="1">
        <f t="array" aca="1" ref="H64" ca="1">OFFSET(INDIRECT("'G:\My Drive\nfl-model-site\data\[nfl_predict_outcome"&amp;$C64&amp;".csv]nfl_predict_outcome"&amp;$C64&amp;"'!A2"),$B64,H$1)</f>
        <v>DET</v>
      </c>
      <c r="I64" t="str" cm="1">
        <f t="array" aca="1" ref="I64" ca="1">OFFSET(INDIRECT("'G:\My Drive\nfl-model-site\data\[nfl_predict_outcome"&amp;$C64&amp;".csv]nfl_predict_outcome"&amp;$C64&amp;"'!A2"),$B64,I$1)</f>
        <v>DET</v>
      </c>
      <c r="J64" cm="1">
        <f t="array" aca="1" ref="J64" ca="1">OFFSET(INDIRECT("'G:\My Drive\nfl-model-site\data\[nfl_predict_outcome"&amp;$C64&amp;".csv]nfl_predict_outcome"&amp;$C64&amp;"'!A2"),$B64,J$1)</f>
        <v>-2.1</v>
      </c>
      <c r="K64" t="str" cm="1">
        <f t="array" aca="1" ref="K64" ca="1">OFFSET(INDIRECT("'G:\My Drive\nfl-model-site\data\[nfl_predict_outcome"&amp;$C64&amp;".csv]nfl_predict_outcome"&amp;$C64&amp;"'!A2"),$B64,K$1)</f>
        <v>with</v>
      </c>
      <c r="L64" cm="1">
        <f t="array" aca="1" ref="L64" ca="1">OFFSET(INDIRECT("'G:\My Drive\nfl-model-site\data\[nfl_predict_outcome"&amp;$C64&amp;".csv]nfl_predict_outcome"&amp;$C64&amp;"'!A2"),$B64,L$1)</f>
        <v>-3.5</v>
      </c>
      <c r="M64" cm="1">
        <f t="array" aca="1" ref="M64" ca="1">_xlfn.XLOOKUP($D64&amp;$F64&amp;$E64&amp;$G64,[1]nfl_historical_matchup_data!$B:$B&amp;[1]nfl_historical_matchup_data!$C:$C&amp;[1]nfl_historical_matchup_data!$L:$L&amp;[1]nfl_historical_matchup_data!$E:$E,[1]nfl_historical_matchup_data!$I:$I)</f>
        <v>32</v>
      </c>
      <c r="N64" cm="1">
        <f t="array" aca="1" ref="N64" ca="1">_xlfn.XLOOKUP($D64&amp;$F64&amp;$E64&amp;$G64,[1]nfl_historical_matchup_data!$B:$B&amp;[1]nfl_historical_matchup_data!$C:$C&amp;[1]nfl_historical_matchup_data!$L:$L&amp;[1]nfl_historical_matchup_data!$E:$E,[1]nfl_historical_matchup_data!$J:$J)</f>
        <v>26</v>
      </c>
      <c r="O64" t="str">
        <f t="shared" ca="1" si="4"/>
        <v>CAR</v>
      </c>
      <c r="P64" t="str">
        <f t="shared" ca="1" si="5"/>
        <v>DET</v>
      </c>
      <c r="Q64">
        <f t="shared" ca="1" si="6"/>
        <v>35.5</v>
      </c>
      <c r="R64">
        <f t="shared" ca="1" si="7"/>
        <v>26</v>
      </c>
      <c r="S64" t="str">
        <f t="shared" ca="1" si="8"/>
        <v>Win</v>
      </c>
    </row>
    <row r="65" spans="1:19" x14ac:dyDescent="0.35">
      <c r="A65">
        <f t="shared" ca="1" si="1"/>
        <v>16</v>
      </c>
      <c r="B65">
        <f t="shared" si="17"/>
        <v>14</v>
      </c>
      <c r="C65" t="str">
        <f t="shared" si="18"/>
        <v>2026w4p0</v>
      </c>
      <c r="D65">
        <v>2026</v>
      </c>
      <c r="E65">
        <v>0</v>
      </c>
      <c r="F65">
        <v>4</v>
      </c>
      <c r="G65" t="str" cm="1">
        <f t="array" aca="1" ref="G65" ca="1">OFFSET(INDIRECT("'G:\My Drive\nfl-model-site\data\[nfl_predict_outcome"&amp;$C65&amp;".csv]nfl_predict_outcome"&amp;$C65&amp;"'!A2"),$B65,G$1)</f>
        <v>SF</v>
      </c>
      <c r="H65" t="str" cm="1">
        <f t="array" aca="1" ref="H65" ca="1">OFFSET(INDIRECT("'G:\My Drive\nfl-model-site\data\[nfl_predict_outcome"&amp;$C65&amp;".csv]nfl_predict_outcome"&amp;$C65&amp;"'!A2"),$B65,H$1)</f>
        <v>DEN</v>
      </c>
      <c r="I65" t="str" cm="1">
        <f t="array" aca="1" ref="I65" ca="1">OFFSET(INDIRECT("'G:\My Drive\nfl-model-site\data\[nfl_predict_outcome"&amp;$C65&amp;".csv]nfl_predict_outcome"&amp;$C65&amp;"'!A2"),$B65,I$1)</f>
        <v>SF</v>
      </c>
      <c r="J65" cm="1">
        <f t="array" aca="1" ref="J65" ca="1">OFFSET(INDIRECT("'G:\My Drive\nfl-model-site\data\[nfl_predict_outcome"&amp;$C65&amp;".csv]nfl_predict_outcome"&amp;$C65&amp;"'!A2"),$B65,J$1)</f>
        <v>-7.1</v>
      </c>
      <c r="K65" t="str" cm="1">
        <f t="array" aca="1" ref="K65" ca="1">OFFSET(INDIRECT("'G:\My Drive\nfl-model-site\data\[nfl_predict_outcome"&amp;$C65&amp;".csv]nfl_predict_outcome"&amp;$C65&amp;"'!A2"),$B65,K$1)</f>
        <v>with</v>
      </c>
      <c r="L65" cm="1">
        <f t="array" aca="1" ref="L65" ca="1">OFFSET(INDIRECT("'G:\My Drive\nfl-model-site\data\[nfl_predict_outcome"&amp;$C65&amp;".csv]nfl_predict_outcome"&amp;$C65&amp;"'!A2"),$B65,L$1)</f>
        <v>-2.8</v>
      </c>
      <c r="M65" cm="1">
        <f t="array" aca="1" ref="M65" ca="1">_xlfn.XLOOKUP($D65&amp;$F65&amp;$E65&amp;$G65,[1]nfl_historical_matchup_data!$B:$B&amp;[1]nfl_historical_matchup_data!$C:$C&amp;[1]nfl_historical_matchup_data!$L:$L&amp;[1]nfl_historical_matchup_data!$E:$E,[1]nfl_historical_matchup_data!$I:$I)</f>
        <v>24</v>
      </c>
      <c r="N65" cm="1">
        <f t="array" aca="1" ref="N65" ca="1">_xlfn.XLOOKUP($D65&amp;$F65&amp;$E65&amp;$G65,[1]nfl_historical_matchup_data!$B:$B&amp;[1]nfl_historical_matchup_data!$C:$C&amp;[1]nfl_historical_matchup_data!$L:$L&amp;[1]nfl_historical_matchup_data!$E:$E,[1]nfl_historical_matchup_data!$J:$J)</f>
        <v>14</v>
      </c>
      <c r="O65" t="str">
        <f t="shared" ca="1" si="4"/>
        <v>SF</v>
      </c>
      <c r="P65" t="str">
        <f t="shared" ca="1" si="5"/>
        <v>SF</v>
      </c>
      <c r="Q65">
        <f t="shared" ca="1" si="6"/>
        <v>24</v>
      </c>
      <c r="R65">
        <f t="shared" ca="1" si="7"/>
        <v>16.8</v>
      </c>
      <c r="S65" t="str">
        <f t="shared" ca="1" si="8"/>
        <v>Win</v>
      </c>
    </row>
    <row r="66" spans="1:19" x14ac:dyDescent="0.35">
      <c r="A66">
        <f t="shared" ca="1" si="1"/>
        <v>16</v>
      </c>
      <c r="B66">
        <f t="shared" si="17"/>
        <v>15</v>
      </c>
      <c r="C66" t="str">
        <f t="shared" si="18"/>
        <v>2026w4p0</v>
      </c>
      <c r="D66">
        <v>2026</v>
      </c>
      <c r="E66">
        <v>0</v>
      </c>
      <c r="F66">
        <v>4</v>
      </c>
      <c r="G66" t="str" cm="1">
        <f t="array" aca="1" ref="G66" ca="1">OFFSET(INDIRECT("'G:\My Drive\nfl-model-site\data\[nfl_predict_outcome"&amp;$C66&amp;".csv]nfl_predict_outcome"&amp;$C66&amp;"'!A2"),$B66,G$1)</f>
        <v>SEA</v>
      </c>
      <c r="H66" t="str" cm="1">
        <f t="array" aca="1" ref="H66" ca="1">OFFSET(INDIRECT("'G:\My Drive\nfl-model-site\data\[nfl_predict_outcome"&amp;$C66&amp;".csv]nfl_predict_outcome"&amp;$C66&amp;"'!A2"),$B66,H$1)</f>
        <v>LAC</v>
      </c>
      <c r="I66" t="str" cm="1">
        <f t="array" aca="1" ref="I66" ca="1">OFFSET(INDIRECT("'G:\My Drive\nfl-model-site\data\[nfl_predict_outcome"&amp;$C66&amp;".csv]nfl_predict_outcome"&amp;$C66&amp;"'!A2"),$B66,I$1)</f>
        <v>SEA</v>
      </c>
      <c r="J66" cm="1">
        <f t="array" aca="1" ref="J66" ca="1">OFFSET(INDIRECT("'G:\My Drive\nfl-model-site\data\[nfl_predict_outcome"&amp;$C66&amp;".csv]nfl_predict_outcome"&amp;$C66&amp;"'!A2"),$B66,J$1)</f>
        <v>-5.9</v>
      </c>
      <c r="K66" t="str" cm="1">
        <f t="array" aca="1" ref="K66" ca="1">OFFSET(INDIRECT("'G:\My Drive\nfl-model-site\data\[nfl_predict_outcome"&amp;$C66&amp;".csv]nfl_predict_outcome"&amp;$C66&amp;"'!A2"),$B66,K$1)</f>
        <v>with</v>
      </c>
      <c r="L66" cm="1">
        <f t="array" aca="1" ref="L66" ca="1">OFFSET(INDIRECT("'G:\My Drive\nfl-model-site\data\[nfl_predict_outcome"&amp;$C66&amp;".csv]nfl_predict_outcome"&amp;$C66&amp;"'!A2"),$B66,L$1)</f>
        <v>-7</v>
      </c>
      <c r="M66" cm="1">
        <f t="array" aca="1" ref="M66" ca="1">_xlfn.XLOOKUP($D66&amp;$F66&amp;$E66&amp;$G66,[1]nfl_historical_matchup_data!$B:$B&amp;[1]nfl_historical_matchup_data!$C:$C&amp;[1]nfl_historical_matchup_data!$L:$L&amp;[1]nfl_historical_matchup_data!$E:$E,[1]nfl_historical_matchup_data!$I:$I)</f>
        <v>30</v>
      </c>
      <c r="N66" cm="1">
        <f t="array" aca="1" ref="N66" ca="1">_xlfn.XLOOKUP($D66&amp;$F66&amp;$E66&amp;$G66,[1]nfl_historical_matchup_data!$B:$B&amp;[1]nfl_historical_matchup_data!$C:$C&amp;[1]nfl_historical_matchup_data!$L:$L&amp;[1]nfl_historical_matchup_data!$E:$E,[1]nfl_historical_matchup_data!$J:$J)</f>
        <v>23</v>
      </c>
      <c r="O66" t="str">
        <f t="shared" ca="1" si="4"/>
        <v>LAC</v>
      </c>
      <c r="P66" t="str">
        <f t="shared" ca="1" si="5"/>
        <v>SEA</v>
      </c>
      <c r="Q66">
        <f t="shared" ca="1" si="6"/>
        <v>30</v>
      </c>
      <c r="R66">
        <f t="shared" ca="1" si="7"/>
        <v>30</v>
      </c>
      <c r="S66" t="str">
        <f t="shared" ca="1" si="8"/>
        <v>Push</v>
      </c>
    </row>
    <row r="67" spans="1:19" x14ac:dyDescent="0.35">
      <c r="A67">
        <f t="shared" ca="1" si="1"/>
        <v>15</v>
      </c>
      <c r="B67">
        <f t="shared" ref="B67" si="19">IF(C67&lt;&gt;C66,0,B66+1)</f>
        <v>0</v>
      </c>
      <c r="C67" t="str">
        <f t="shared" ref="C67" si="20">D67&amp;"w"&amp;F67&amp;"p"&amp;E67</f>
        <v>2026w5p0</v>
      </c>
      <c r="D67">
        <v>2026</v>
      </c>
      <c r="E67">
        <v>0</v>
      </c>
      <c r="F67">
        <v>5</v>
      </c>
      <c r="G67" t="str" cm="1">
        <f t="array" aca="1" ref="G67" ca="1">OFFSET(INDIRECT("'G:\My Drive\nfl-model-site\data\[nfl_predict_outcome"&amp;$C67&amp;".csv]nfl_predict_outcome"&amp;$C67&amp;"'!A2"),$B67,G$1)</f>
        <v>NE</v>
      </c>
      <c r="H67" t="str" cm="1">
        <f t="array" aca="1" ref="H67" ca="1">OFFSET(INDIRECT("'G:\My Drive\nfl-model-site\data\[nfl_predict_outcome"&amp;$C67&amp;".csv]nfl_predict_outcome"&amp;$C67&amp;"'!A2"),$B67,H$1)</f>
        <v>LV</v>
      </c>
      <c r="I67" t="str" cm="1">
        <f t="array" aca="1" ref="I67" ca="1">OFFSET(INDIRECT("'G:\My Drive\nfl-model-site\data\[nfl_predict_outcome"&amp;$C67&amp;".csv]nfl_predict_outcome"&amp;$C67&amp;"'!A2"),$B67,I$1)</f>
        <v>NE</v>
      </c>
      <c r="J67" cm="1">
        <f t="array" aca="1" ref="J67" ca="1">OFFSET(INDIRECT("'G:\My Drive\nfl-model-site\data\[nfl_predict_outcome"&amp;$C67&amp;".csv]nfl_predict_outcome"&amp;$C67&amp;"'!A2"),$B67,J$1)</f>
        <v>-1.6</v>
      </c>
      <c r="K67" t="str" cm="1">
        <f t="array" aca="1" ref="K67" ca="1">OFFSET(INDIRECT("'G:\My Drive\nfl-model-site\data\[nfl_predict_outcome"&amp;$C67&amp;".csv]nfl_predict_outcome"&amp;$C67&amp;"'!A2"),$B67,K$1)</f>
        <v>with</v>
      </c>
      <c r="L67" cm="1">
        <f t="array" aca="1" ref="L67" ca="1">OFFSET(INDIRECT("'G:\My Drive\nfl-model-site\data\[nfl_predict_outcome"&amp;$C67&amp;".csv]nfl_predict_outcome"&amp;$C67&amp;"'!A2"),$B67,L$1)</f>
        <v>-3.5</v>
      </c>
      <c r="M67" cm="1">
        <f t="array" aca="1" ref="M67" ca="1">_xlfn.XLOOKUP($D67&amp;$F67&amp;$E67&amp;$G67,[1]nfl_historical_matchup_data!$B:$B&amp;[1]nfl_historical_matchup_data!$C:$C&amp;[1]nfl_historical_matchup_data!$L:$L&amp;[1]nfl_historical_matchup_data!$E:$E,[1]nfl_historical_matchup_data!$I:$I)</f>
        <v>45</v>
      </c>
      <c r="N67" cm="1">
        <f t="array" aca="1" ref="N67" ca="1">_xlfn.XLOOKUP($D67&amp;$F67&amp;$E67&amp;$G67,[1]nfl_historical_matchup_data!$B:$B&amp;[1]nfl_historical_matchup_data!$C:$C&amp;[1]nfl_historical_matchup_data!$L:$L&amp;[1]nfl_historical_matchup_data!$E:$E,[1]nfl_historical_matchup_data!$J:$J)</f>
        <v>17</v>
      </c>
      <c r="O67" t="str">
        <f t="shared" ca="1" si="4"/>
        <v>LV</v>
      </c>
      <c r="P67" t="str">
        <f t="shared" ca="1" si="5"/>
        <v>NE</v>
      </c>
      <c r="Q67">
        <f t="shared" ca="1" si="6"/>
        <v>45</v>
      </c>
      <c r="R67">
        <f t="shared" ca="1" si="7"/>
        <v>20.5</v>
      </c>
      <c r="S67" t="str">
        <f t="shared" ca="1" si="8"/>
        <v>Lose</v>
      </c>
    </row>
    <row r="68" spans="1:19" x14ac:dyDescent="0.35">
      <c r="A68">
        <f t="shared" ca="1" si="1"/>
        <v>15</v>
      </c>
      <c r="B68">
        <f t="shared" ref="B68:B81" si="21">IF(C68&lt;&gt;C67,0,B67+1)</f>
        <v>1</v>
      </c>
      <c r="C68" t="str">
        <f t="shared" ref="C68:C81" si="22">D68&amp;"w"&amp;F68&amp;"p"&amp;E68</f>
        <v>2026w5p0</v>
      </c>
      <c r="D68">
        <v>2026</v>
      </c>
      <c r="E68">
        <v>0</v>
      </c>
      <c r="F68">
        <v>5</v>
      </c>
      <c r="G68" t="str" cm="1">
        <f t="array" aca="1" ref="G68" ca="1">OFFSET(INDIRECT("'G:\My Drive\nfl-model-site\data\[nfl_predict_outcome"&amp;$C68&amp;".csv]nfl_predict_outcome"&amp;$C68&amp;"'!A2"),$B68,G$1)</f>
        <v>NYJ</v>
      </c>
      <c r="H68" t="str" cm="1">
        <f t="array" aca="1" ref="H68" ca="1">OFFSET(INDIRECT("'G:\My Drive\nfl-model-site\data\[nfl_predict_outcome"&amp;$C68&amp;".csv]nfl_predict_outcome"&amp;$C68&amp;"'!A2"),$B68,H$1)</f>
        <v>CLE</v>
      </c>
      <c r="I68" t="str" cm="1">
        <f t="array" aca="1" ref="I68" ca="1">OFFSET(INDIRECT("'G:\My Drive\nfl-model-site\data\[nfl_predict_outcome"&amp;$C68&amp;".csv]nfl_predict_outcome"&amp;$C68&amp;"'!A2"),$B68,I$1)</f>
        <v>CLE</v>
      </c>
      <c r="J68" cm="1">
        <f t="array" aca="1" ref="J68" ca="1">OFFSET(INDIRECT("'G:\My Drive\nfl-model-site\data\[nfl_predict_outcome"&amp;$C68&amp;".csv]nfl_predict_outcome"&amp;$C68&amp;"'!A2"),$B68,J$1)</f>
        <v>-3.8</v>
      </c>
      <c r="K68" t="str" cm="1">
        <f t="array" aca="1" ref="K68" ca="1">OFFSET(INDIRECT("'G:\My Drive\nfl-model-site\data\[nfl_predict_outcome"&amp;$C68&amp;".csv]nfl_predict_outcome"&amp;$C68&amp;"'!A2"),$B68,K$1)</f>
        <v>against</v>
      </c>
      <c r="L68" cm="1">
        <f t="array" aca="1" ref="L68" ca="1">OFFSET(INDIRECT("'G:\My Drive\nfl-model-site\data\[nfl_predict_outcome"&amp;$C68&amp;".csv]nfl_predict_outcome"&amp;$C68&amp;"'!A2"),$B68,L$1)</f>
        <v>2.5</v>
      </c>
      <c r="M68" cm="1">
        <f t="array" aca="1" ref="M68" ca="1">_xlfn.XLOOKUP($D68&amp;$F68&amp;$E68&amp;$G68,[1]nfl_historical_matchup_data!$B:$B&amp;[1]nfl_historical_matchup_data!$C:$C&amp;[1]nfl_historical_matchup_data!$L:$L&amp;[1]nfl_historical_matchup_data!$E:$E,[1]nfl_historical_matchup_data!$I:$I)</f>
        <v>17</v>
      </c>
      <c r="N68" cm="1">
        <f t="array" aca="1" ref="N68" ca="1">_xlfn.XLOOKUP($D68&amp;$F68&amp;$E68&amp;$G68,[1]nfl_historical_matchup_data!$B:$B&amp;[1]nfl_historical_matchup_data!$C:$C&amp;[1]nfl_historical_matchup_data!$L:$L&amp;[1]nfl_historical_matchup_data!$E:$E,[1]nfl_historical_matchup_data!$J:$J)</f>
        <v>12</v>
      </c>
      <c r="O68" t="str">
        <f t="shared" ref="O68:O81" ca="1" si="23">IF(K68="with",IF(J68&lt;L68,I68,IF(G68=I68,H68,G68)),I68)</f>
        <v>CLE</v>
      </c>
      <c r="P68" t="str">
        <f t="shared" ref="P68:P81" ca="1" si="24">IF(K68="with",I68,IF(I68=G68,H68,G68))</f>
        <v>NYJ</v>
      </c>
      <c r="Q68">
        <f t="shared" ref="Q68:Q81" ca="1" si="25">IF(G68=P68,M68,M68+ABS(L68))</f>
        <v>17</v>
      </c>
      <c r="R68">
        <f t="shared" ref="R68:R81" ca="1" si="26">IF(P68=H68,N68,N68+ABS(L68))</f>
        <v>14.5</v>
      </c>
      <c r="S68" t="str">
        <f t="shared" ref="S68:S81" ca="1" si="27">IF(O68=G68,IF(Q68&gt;R68,"Win",IF(Q68=R68,"Push","Lose")),IF(R68&gt;Q68,"Win",IF(R68=Q68,"Push","Lose")))</f>
        <v>Lose</v>
      </c>
    </row>
    <row r="69" spans="1:19" x14ac:dyDescent="0.35">
      <c r="A69">
        <f t="shared" ref="A69:A95" ca="1" si="28">COUNTA(INDIRECT("'G:\My Drive\nfl-model-site\data\[nfl_predict_outcome"&amp;$C69&amp;".csv]nfl_predict_outcome"&amp;$C69&amp;"'!A:A"))-1</f>
        <v>15</v>
      </c>
      <c r="B69">
        <f t="shared" si="21"/>
        <v>2</v>
      </c>
      <c r="C69" t="str">
        <f t="shared" si="22"/>
        <v>2026w5p0</v>
      </c>
      <c r="D69">
        <v>2026</v>
      </c>
      <c r="E69">
        <v>0</v>
      </c>
      <c r="F69">
        <v>5</v>
      </c>
      <c r="G69" t="str" cm="1">
        <f t="array" aca="1" ref="G69" ca="1">OFFSET(INDIRECT("'G:\My Drive\nfl-model-site\data\[nfl_predict_outcome"&amp;$C69&amp;".csv]nfl_predict_outcome"&amp;$C69&amp;"'!A2"),$B69,G$1)</f>
        <v>MIA</v>
      </c>
      <c r="H69" t="str" cm="1">
        <f t="array" aca="1" ref="H69" ca="1">OFFSET(INDIRECT("'G:\My Drive\nfl-model-site\data\[nfl_predict_outcome"&amp;$C69&amp;".csv]nfl_predict_outcome"&amp;$C69&amp;"'!A2"),$B69,H$1)</f>
        <v>CIN</v>
      </c>
      <c r="I69" t="str" cm="1">
        <f t="array" aca="1" ref="I69" ca="1">OFFSET(INDIRECT("'G:\My Drive\nfl-model-site\data\[nfl_predict_outcome"&amp;$C69&amp;".csv]nfl_predict_outcome"&amp;$C69&amp;"'!A2"),$B69,I$1)</f>
        <v>CIN</v>
      </c>
      <c r="J69" cm="1">
        <f t="array" aca="1" ref="J69" ca="1">OFFSET(INDIRECT("'G:\My Drive\nfl-model-site\data\[nfl_predict_outcome"&amp;$C69&amp;".csv]nfl_predict_outcome"&amp;$C69&amp;"'!A2"),$B69,J$1)</f>
        <v>-5.0999999999999996</v>
      </c>
      <c r="K69" t="str" cm="1">
        <f t="array" aca="1" ref="K69" ca="1">OFFSET(INDIRECT("'G:\My Drive\nfl-model-site\data\[nfl_predict_outcome"&amp;$C69&amp;".csv]nfl_predict_outcome"&amp;$C69&amp;"'!A2"),$B69,K$1)</f>
        <v>with</v>
      </c>
      <c r="L69" cm="1">
        <f t="array" aca="1" ref="L69" ca="1">OFFSET(INDIRECT("'G:\My Drive\nfl-model-site\data\[nfl_predict_outcome"&amp;$C69&amp;".csv]nfl_predict_outcome"&amp;$C69&amp;"'!A2"),$B69,L$1)</f>
        <v>-7</v>
      </c>
      <c r="M69" cm="1">
        <f t="array" aca="1" ref="M69" ca="1">_xlfn.XLOOKUP($D69&amp;$F69&amp;$E69&amp;$G69,[1]nfl_historical_matchup_data!$B:$B&amp;[1]nfl_historical_matchup_data!$C:$C&amp;[1]nfl_historical_matchup_data!$L:$L&amp;[1]nfl_historical_matchup_data!$E:$E,[1]nfl_historical_matchup_data!$I:$I)</f>
        <v>24</v>
      </c>
      <c r="N69" cm="1">
        <f t="array" aca="1" ref="N69" ca="1">_xlfn.XLOOKUP($D69&amp;$F69&amp;$E69&amp;$G69,[1]nfl_historical_matchup_data!$B:$B&amp;[1]nfl_historical_matchup_data!$C:$C&amp;[1]nfl_historical_matchup_data!$L:$L&amp;[1]nfl_historical_matchup_data!$E:$E,[1]nfl_historical_matchup_data!$J:$J)</f>
        <v>31</v>
      </c>
      <c r="O69" t="str">
        <f t="shared" ca="1" si="23"/>
        <v>MIA</v>
      </c>
      <c r="P69" t="str">
        <f t="shared" ca="1" si="24"/>
        <v>CIN</v>
      </c>
      <c r="Q69">
        <f t="shared" ca="1" si="25"/>
        <v>31</v>
      </c>
      <c r="R69">
        <f t="shared" ca="1" si="26"/>
        <v>31</v>
      </c>
      <c r="S69" t="str">
        <f t="shared" ca="1" si="27"/>
        <v>Push</v>
      </c>
    </row>
    <row r="70" spans="1:19" x14ac:dyDescent="0.35">
      <c r="A70">
        <f t="shared" ca="1" si="28"/>
        <v>15</v>
      </c>
      <c r="B70">
        <f t="shared" si="21"/>
        <v>3</v>
      </c>
      <c r="C70" t="str">
        <f t="shared" si="22"/>
        <v>2026w5p0</v>
      </c>
      <c r="D70">
        <v>2026</v>
      </c>
      <c r="E70">
        <v>0</v>
      </c>
      <c r="F70">
        <v>5</v>
      </c>
      <c r="G70" t="str" cm="1">
        <f t="array" aca="1" ref="G70" ca="1">OFFSET(INDIRECT("'G:\My Drive\nfl-model-site\data\[nfl_predict_outcome"&amp;$C70&amp;".csv]nfl_predict_outcome"&amp;$C70&amp;"'!A2"),$B70,G$1)</f>
        <v>PIT</v>
      </c>
      <c r="H70" t="str" cm="1">
        <f t="array" aca="1" ref="H70" ca="1">OFFSET(INDIRECT("'G:\My Drive\nfl-model-site\data\[nfl_predict_outcome"&amp;$C70&amp;".csv]nfl_predict_outcome"&amp;$C70&amp;"'!A2"),$B70,H$1)</f>
        <v>IND</v>
      </c>
      <c r="I70" t="str" cm="1">
        <f t="array" aca="1" ref="I70" ca="1">OFFSET(INDIRECT("'G:\My Drive\nfl-model-site\data\[nfl_predict_outcome"&amp;$C70&amp;".csv]nfl_predict_outcome"&amp;$C70&amp;"'!A2"),$B70,I$1)</f>
        <v>IND</v>
      </c>
      <c r="J70" cm="1">
        <f t="array" aca="1" ref="J70" ca="1">OFFSET(INDIRECT("'G:\My Drive\nfl-model-site\data\[nfl_predict_outcome"&amp;$C70&amp;".csv]nfl_predict_outcome"&amp;$C70&amp;"'!A2"),$B70,J$1)</f>
        <v>-2.1</v>
      </c>
      <c r="K70" t="str" cm="1">
        <f t="array" aca="1" ref="K70" ca="1">OFFSET(INDIRECT("'G:\My Drive\nfl-model-site\data\[nfl_predict_outcome"&amp;$C70&amp;".csv]nfl_predict_outcome"&amp;$C70&amp;"'!A2"),$B70,K$1)</f>
        <v>against</v>
      </c>
      <c r="L70" cm="1">
        <f t="array" aca="1" ref="L70" ca="1">OFFSET(INDIRECT("'G:\My Drive\nfl-model-site\data\[nfl_predict_outcome"&amp;$C70&amp;".csv]nfl_predict_outcome"&amp;$C70&amp;"'!A2"),$B70,L$1)</f>
        <v>2.8</v>
      </c>
      <c r="M70" cm="1">
        <f t="array" aca="1" ref="M70" ca="1">_xlfn.XLOOKUP($D70&amp;$F70&amp;$E70&amp;$G70,[1]nfl_historical_matchup_data!$B:$B&amp;[1]nfl_historical_matchup_data!$C:$C&amp;[1]nfl_historical_matchup_data!$L:$L&amp;[1]nfl_historical_matchup_data!$E:$E,[1]nfl_historical_matchup_data!$I:$I)</f>
        <v>34</v>
      </c>
      <c r="N70" cm="1">
        <f t="array" aca="1" ref="N70" ca="1">_xlfn.XLOOKUP($D70&amp;$F70&amp;$E70&amp;$G70,[1]nfl_historical_matchup_data!$B:$B&amp;[1]nfl_historical_matchup_data!$C:$C&amp;[1]nfl_historical_matchup_data!$L:$L&amp;[1]nfl_historical_matchup_data!$E:$E,[1]nfl_historical_matchup_data!$J:$J)</f>
        <v>22</v>
      </c>
      <c r="O70" t="str">
        <f t="shared" ca="1" si="23"/>
        <v>IND</v>
      </c>
      <c r="P70" t="str">
        <f t="shared" ca="1" si="24"/>
        <v>PIT</v>
      </c>
      <c r="Q70">
        <f t="shared" ca="1" si="25"/>
        <v>34</v>
      </c>
      <c r="R70">
        <f t="shared" ca="1" si="26"/>
        <v>24.8</v>
      </c>
      <c r="S70" t="str">
        <f t="shared" ca="1" si="27"/>
        <v>Lose</v>
      </c>
    </row>
    <row r="71" spans="1:19" x14ac:dyDescent="0.35">
      <c r="A71">
        <f t="shared" ca="1" si="28"/>
        <v>15</v>
      </c>
      <c r="B71">
        <f t="shared" si="21"/>
        <v>4</v>
      </c>
      <c r="C71" t="str">
        <f t="shared" si="22"/>
        <v>2026w5p0</v>
      </c>
      <c r="D71">
        <v>2026</v>
      </c>
      <c r="E71">
        <v>0</v>
      </c>
      <c r="F71">
        <v>5</v>
      </c>
      <c r="G71" t="str" cm="1">
        <f t="array" aca="1" ref="G71" ca="1">OFFSET(INDIRECT("'G:\My Drive\nfl-model-site\data\[nfl_predict_outcome"&amp;$C71&amp;".csv]nfl_predict_outcome"&amp;$C71&amp;"'!A2"),$B71,G$1)</f>
        <v>TEN</v>
      </c>
      <c r="H71" t="str" cm="1">
        <f t="array" aca="1" ref="H71" ca="1">OFFSET(INDIRECT("'G:\My Drive\nfl-model-site\data\[nfl_predict_outcome"&amp;$C71&amp;".csv]nfl_predict_outcome"&amp;$C71&amp;"'!A2"),$B71,H$1)</f>
        <v>HOU</v>
      </c>
      <c r="I71" t="str" cm="1">
        <f t="array" aca="1" ref="I71" ca="1">OFFSET(INDIRECT("'G:\My Drive\nfl-model-site\data\[nfl_predict_outcome"&amp;$C71&amp;".csv]nfl_predict_outcome"&amp;$C71&amp;"'!A2"),$B71,I$1)</f>
        <v>HOU</v>
      </c>
      <c r="J71" cm="1">
        <f t="array" aca="1" ref="J71" ca="1">OFFSET(INDIRECT("'G:\My Drive\nfl-model-site\data\[nfl_predict_outcome"&amp;$C71&amp;".csv]nfl_predict_outcome"&amp;$C71&amp;"'!A2"),$B71,J$1)</f>
        <v>-2.6</v>
      </c>
      <c r="K71" t="str" cm="1">
        <f t="array" aca="1" ref="K71" ca="1">OFFSET(INDIRECT("'G:\My Drive\nfl-model-site\data\[nfl_predict_outcome"&amp;$C71&amp;".csv]nfl_predict_outcome"&amp;$C71&amp;"'!A2"),$B71,K$1)</f>
        <v>with</v>
      </c>
      <c r="L71" cm="1">
        <f t="array" aca="1" ref="L71" ca="1">OFFSET(INDIRECT("'G:\My Drive\nfl-model-site\data\[nfl_predict_outcome"&amp;$C71&amp;".csv]nfl_predict_outcome"&amp;$C71&amp;"'!A2"),$B71,L$1)</f>
        <v>-6.5</v>
      </c>
      <c r="M71" cm="1">
        <f t="array" aca="1" ref="M71" ca="1">_xlfn.XLOOKUP($D71&amp;$F71&amp;$E71&amp;$G71,[1]nfl_historical_matchup_data!$B:$B&amp;[1]nfl_historical_matchup_data!$C:$C&amp;[1]nfl_historical_matchup_data!$L:$L&amp;[1]nfl_historical_matchup_data!$E:$E,[1]nfl_historical_matchup_data!$I:$I)</f>
        <v>3</v>
      </c>
      <c r="N71" cm="1">
        <f t="array" aca="1" ref="N71" ca="1">_xlfn.XLOOKUP($D71&amp;$F71&amp;$E71&amp;$G71,[1]nfl_historical_matchup_data!$B:$B&amp;[1]nfl_historical_matchup_data!$C:$C&amp;[1]nfl_historical_matchup_data!$L:$L&amp;[1]nfl_historical_matchup_data!$E:$E,[1]nfl_historical_matchup_data!$J:$J)</f>
        <v>26</v>
      </c>
      <c r="O71" t="str">
        <f t="shared" ca="1" si="23"/>
        <v>TEN</v>
      </c>
      <c r="P71" t="str">
        <f t="shared" ca="1" si="24"/>
        <v>HOU</v>
      </c>
      <c r="Q71">
        <f t="shared" ca="1" si="25"/>
        <v>9.5</v>
      </c>
      <c r="R71">
        <f t="shared" ca="1" si="26"/>
        <v>26</v>
      </c>
      <c r="S71" t="str">
        <f t="shared" ca="1" si="27"/>
        <v>Lose</v>
      </c>
    </row>
    <row r="72" spans="1:19" x14ac:dyDescent="0.35">
      <c r="A72">
        <f t="shared" ca="1" si="28"/>
        <v>15</v>
      </c>
      <c r="B72">
        <f t="shared" si="21"/>
        <v>5</v>
      </c>
      <c r="C72" t="str">
        <f t="shared" si="22"/>
        <v>2026w5p0</v>
      </c>
      <c r="D72">
        <v>2026</v>
      </c>
      <c r="E72">
        <v>0</v>
      </c>
      <c r="F72">
        <v>5</v>
      </c>
      <c r="G72" t="str" cm="1">
        <f t="array" aca="1" ref="G72" ca="1">OFFSET(INDIRECT("'G:\My Drive\nfl-model-site\data\[nfl_predict_outcome"&amp;$C72&amp;".csv]nfl_predict_outcome"&amp;$C72&amp;"'!A2"),$B72,G$1)</f>
        <v>JAX</v>
      </c>
      <c r="H72" t="str" cm="1">
        <f t="array" aca="1" ref="H72" ca="1">OFFSET(INDIRECT("'G:\My Drive\nfl-model-site\data\[nfl_predict_outcome"&amp;$C72&amp;".csv]nfl_predict_outcome"&amp;$C72&amp;"'!A2"),$B72,H$1)</f>
        <v>PHI</v>
      </c>
      <c r="I72" t="str" cm="1">
        <f t="array" aca="1" ref="I72" ca="1">OFFSET(INDIRECT("'G:\My Drive\nfl-model-site\data\[nfl_predict_outcome"&amp;$C72&amp;".csv]nfl_predict_outcome"&amp;$C72&amp;"'!A2"),$B72,I$1)</f>
        <v>JAX</v>
      </c>
      <c r="J72" cm="1">
        <f t="array" aca="1" ref="J72" ca="1">OFFSET(INDIRECT("'G:\My Drive\nfl-model-site\data\[nfl_predict_outcome"&amp;$C72&amp;".csv]nfl_predict_outcome"&amp;$C72&amp;"'!A2"),$B72,J$1)</f>
        <v>-5.7</v>
      </c>
      <c r="K72" t="str" cm="1">
        <f t="array" aca="1" ref="K72" ca="1">OFFSET(INDIRECT("'G:\My Drive\nfl-model-site\data\[nfl_predict_outcome"&amp;$C72&amp;".csv]nfl_predict_outcome"&amp;$C72&amp;"'!A2"),$B72,K$1)</f>
        <v>with</v>
      </c>
      <c r="L72" cm="1">
        <f t="array" aca="1" ref="L72" ca="1">OFFSET(INDIRECT("'G:\My Drive\nfl-model-site\data\[nfl_predict_outcome"&amp;$C72&amp;".csv]nfl_predict_outcome"&amp;$C72&amp;"'!A2"),$B72,L$1)</f>
        <v>-7.7</v>
      </c>
      <c r="M72" cm="1">
        <f t="array" aca="1" ref="M72" ca="1">_xlfn.XLOOKUP($D72&amp;$F72&amp;$E72&amp;$G72,[1]nfl_historical_matchup_data!$B:$B&amp;[1]nfl_historical_matchup_data!$C:$C&amp;[1]nfl_historical_matchup_data!$L:$L&amp;[1]nfl_historical_matchup_data!$E:$E,[1]nfl_historical_matchup_data!$I:$I)</f>
        <v>19</v>
      </c>
      <c r="N72" cm="1">
        <f t="array" aca="1" ref="N72" ca="1">_xlfn.XLOOKUP($D72&amp;$F72&amp;$E72&amp;$G72,[1]nfl_historical_matchup_data!$B:$B&amp;[1]nfl_historical_matchup_data!$C:$C&amp;[1]nfl_historical_matchup_data!$L:$L&amp;[1]nfl_historical_matchup_data!$E:$E,[1]nfl_historical_matchup_data!$J:$J)</f>
        <v>17</v>
      </c>
      <c r="O72" t="str">
        <f t="shared" ca="1" si="23"/>
        <v>PHI</v>
      </c>
      <c r="P72" t="str">
        <f t="shared" ca="1" si="24"/>
        <v>JAX</v>
      </c>
      <c r="Q72">
        <f t="shared" ca="1" si="25"/>
        <v>19</v>
      </c>
      <c r="R72">
        <f t="shared" ca="1" si="26"/>
        <v>24.7</v>
      </c>
      <c r="S72" t="str">
        <f t="shared" ca="1" si="27"/>
        <v>Win</v>
      </c>
    </row>
    <row r="73" spans="1:19" x14ac:dyDescent="0.35">
      <c r="A73">
        <f t="shared" ca="1" si="28"/>
        <v>15</v>
      </c>
      <c r="B73">
        <f t="shared" si="21"/>
        <v>6</v>
      </c>
      <c r="C73" t="str">
        <f t="shared" si="22"/>
        <v>2026w5p0</v>
      </c>
      <c r="D73">
        <v>2026</v>
      </c>
      <c r="E73">
        <v>0</v>
      </c>
      <c r="F73">
        <v>5</v>
      </c>
      <c r="G73" t="str" cm="1">
        <f t="array" aca="1" ref="G73" ca="1">OFFSET(INDIRECT("'G:\My Drive\nfl-model-site\data\[nfl_predict_outcome"&amp;$C73&amp;".csv]nfl_predict_outcome"&amp;$C73&amp;"'!A2"),$B73,G$1)</f>
        <v>LAC</v>
      </c>
      <c r="H73" t="str" cm="1">
        <f t="array" aca="1" ref="H73" ca="1">OFFSET(INDIRECT("'G:\My Drive\nfl-model-site\data\[nfl_predict_outcome"&amp;$C73&amp;".csv]nfl_predict_outcome"&amp;$C73&amp;"'!A2"),$B73,H$1)</f>
        <v>DEN</v>
      </c>
      <c r="I73" t="str" cm="1">
        <f t="array" aca="1" ref="I73" ca="1">OFFSET(INDIRECT("'G:\My Drive\nfl-model-site\data\[nfl_predict_outcome"&amp;$C73&amp;".csv]nfl_predict_outcome"&amp;$C73&amp;"'!A2"),$B73,I$1)</f>
        <v>DEN</v>
      </c>
      <c r="J73" cm="1">
        <f t="array" aca="1" ref="J73" ca="1">OFFSET(INDIRECT("'G:\My Drive\nfl-model-site\data\[nfl_predict_outcome"&amp;$C73&amp;".csv]nfl_predict_outcome"&amp;$C73&amp;"'!A2"),$B73,J$1)</f>
        <v>-1.6</v>
      </c>
      <c r="K73" t="str" cm="1">
        <f t="array" aca="1" ref="K73" ca="1">OFFSET(INDIRECT("'G:\My Drive\nfl-model-site\data\[nfl_predict_outcome"&amp;$C73&amp;".csv]nfl_predict_outcome"&amp;$C73&amp;"'!A2"),$B73,K$1)</f>
        <v>with</v>
      </c>
      <c r="L73" cm="1">
        <f t="array" aca="1" ref="L73" ca="1">OFFSET(INDIRECT("'G:\My Drive\nfl-model-site\data\[nfl_predict_outcome"&amp;$C73&amp;".csv]nfl_predict_outcome"&amp;$C73&amp;"'!A2"),$B73,L$1)</f>
        <v>-3.5</v>
      </c>
      <c r="M73" cm="1">
        <f t="array" aca="1" ref="M73" ca="1">_xlfn.XLOOKUP($D73&amp;$F73&amp;$E73&amp;$G73,[1]nfl_historical_matchup_data!$B:$B&amp;[1]nfl_historical_matchup_data!$C:$C&amp;[1]nfl_historical_matchup_data!$L:$L&amp;[1]nfl_historical_matchup_data!$E:$E,[1]nfl_historical_matchup_data!$I:$I)</f>
        <v>17</v>
      </c>
      <c r="N73" cm="1">
        <f t="array" aca="1" ref="N73" ca="1">_xlfn.XLOOKUP($D73&amp;$F73&amp;$E73&amp;$G73,[1]nfl_historical_matchup_data!$B:$B&amp;[1]nfl_historical_matchup_data!$C:$C&amp;[1]nfl_historical_matchup_data!$L:$L&amp;[1]nfl_historical_matchup_data!$E:$E,[1]nfl_historical_matchup_data!$J:$J)</f>
        <v>23</v>
      </c>
      <c r="O73" t="str">
        <f t="shared" ca="1" si="23"/>
        <v>LAC</v>
      </c>
      <c r="P73" t="str">
        <f t="shared" ca="1" si="24"/>
        <v>DEN</v>
      </c>
      <c r="Q73">
        <f t="shared" ca="1" si="25"/>
        <v>20.5</v>
      </c>
      <c r="R73">
        <f t="shared" ca="1" si="26"/>
        <v>23</v>
      </c>
      <c r="S73" t="str">
        <f t="shared" ca="1" si="27"/>
        <v>Lose</v>
      </c>
    </row>
    <row r="74" spans="1:19" x14ac:dyDescent="0.35">
      <c r="A74">
        <f t="shared" ca="1" si="28"/>
        <v>15</v>
      </c>
      <c r="B74">
        <f t="shared" si="21"/>
        <v>7</v>
      </c>
      <c r="C74" t="str">
        <f t="shared" si="22"/>
        <v>2026w5p0</v>
      </c>
      <c r="D74">
        <v>2026</v>
      </c>
      <c r="E74">
        <v>0</v>
      </c>
      <c r="F74">
        <v>5</v>
      </c>
      <c r="G74" t="str" cm="1">
        <f t="array" aca="1" ref="G74" ca="1">OFFSET(INDIRECT("'G:\My Drive\nfl-model-site\data\[nfl_predict_outcome"&amp;$C74&amp;".csv]nfl_predict_outcome"&amp;$C74&amp;"'!A2"),$B74,G$1)</f>
        <v>DAL</v>
      </c>
      <c r="H74" t="str" cm="1">
        <f t="array" aca="1" ref="H74" ca="1">OFFSET(INDIRECT("'G:\My Drive\nfl-model-site\data\[nfl_predict_outcome"&amp;$C74&amp;".csv]nfl_predict_outcome"&amp;$C74&amp;"'!A2"),$B74,H$1)</f>
        <v>TB</v>
      </c>
      <c r="I74" t="str" cm="1">
        <f t="array" aca="1" ref="I74" ca="1">OFFSET(INDIRECT("'G:\My Drive\nfl-model-site\data\[nfl_predict_outcome"&amp;$C74&amp;".csv]nfl_predict_outcome"&amp;$C74&amp;"'!A2"),$B74,I$1)</f>
        <v>DAL</v>
      </c>
      <c r="J74" cm="1">
        <f t="array" aca="1" ref="J74" ca="1">OFFSET(INDIRECT("'G:\My Drive\nfl-model-site\data\[nfl_predict_outcome"&amp;$C74&amp;".csv]nfl_predict_outcome"&amp;$C74&amp;"'!A2"),$B74,J$1)</f>
        <v>-5.6</v>
      </c>
      <c r="K74" t="str" cm="1">
        <f t="array" aca="1" ref="K74" ca="1">OFFSET(INDIRECT("'G:\My Drive\nfl-model-site\data\[nfl_predict_outcome"&amp;$C74&amp;".csv]nfl_predict_outcome"&amp;$C74&amp;"'!A2"),$B74,K$1)</f>
        <v>with</v>
      </c>
      <c r="L74" cm="1">
        <f t="array" aca="1" ref="L74" ca="1">OFFSET(INDIRECT("'G:\My Drive\nfl-model-site\data\[nfl_predict_outcome"&amp;$C74&amp;".csv]nfl_predict_outcome"&amp;$C74&amp;"'!A2"),$B74,L$1)</f>
        <v>-9.3000000000000007</v>
      </c>
      <c r="M74" cm="1">
        <f t="array" aca="1" ref="M74" ca="1">_xlfn.XLOOKUP($D74&amp;$F74&amp;$E74&amp;$G74,[1]nfl_historical_matchup_data!$B:$B&amp;[1]nfl_historical_matchup_data!$C:$C&amp;[1]nfl_historical_matchup_data!$L:$L&amp;[1]nfl_historical_matchup_data!$E:$E,[1]nfl_historical_matchup_data!$I:$I)</f>
        <v>16</v>
      </c>
      <c r="N74" cm="1">
        <f t="array" aca="1" ref="N74" ca="1">_xlfn.XLOOKUP($D74&amp;$F74&amp;$E74&amp;$G74,[1]nfl_historical_matchup_data!$B:$B&amp;[1]nfl_historical_matchup_data!$C:$C&amp;[1]nfl_historical_matchup_data!$L:$L&amp;[1]nfl_historical_matchup_data!$E:$E,[1]nfl_historical_matchup_data!$J:$J)</f>
        <v>24</v>
      </c>
      <c r="O74" t="str">
        <f t="shared" ca="1" si="23"/>
        <v>TB</v>
      </c>
      <c r="P74" t="str">
        <f t="shared" ca="1" si="24"/>
        <v>DAL</v>
      </c>
      <c r="Q74">
        <f t="shared" ca="1" si="25"/>
        <v>16</v>
      </c>
      <c r="R74">
        <f t="shared" ca="1" si="26"/>
        <v>33.299999999999997</v>
      </c>
      <c r="S74" t="str">
        <f t="shared" ca="1" si="27"/>
        <v>Win</v>
      </c>
    </row>
    <row r="75" spans="1:19" x14ac:dyDescent="0.35">
      <c r="A75">
        <f t="shared" ca="1" si="28"/>
        <v>15</v>
      </c>
      <c r="B75">
        <f t="shared" si="21"/>
        <v>8</v>
      </c>
      <c r="C75" t="str">
        <f t="shared" si="22"/>
        <v>2026w5p0</v>
      </c>
      <c r="D75">
        <v>2026</v>
      </c>
      <c r="E75">
        <v>0</v>
      </c>
      <c r="F75">
        <v>5</v>
      </c>
      <c r="G75" t="str" cm="1">
        <f t="array" aca="1" ref="G75" ca="1">OFFSET(INDIRECT("'G:\My Drive\nfl-model-site\data\[nfl_predict_outcome"&amp;$C75&amp;".csv]nfl_predict_outcome"&amp;$C75&amp;"'!A2"),$B75,G$1)</f>
        <v>WSH</v>
      </c>
      <c r="H75" t="str" cm="1">
        <f t="array" aca="1" ref="H75" ca="1">OFFSET(INDIRECT("'G:\My Drive\nfl-model-site\data\[nfl_predict_outcome"&amp;$C75&amp;".csv]nfl_predict_outcome"&amp;$C75&amp;"'!A2"),$B75,H$1)</f>
        <v>NYG</v>
      </c>
      <c r="I75" t="str" cm="1">
        <f t="array" aca="1" ref="I75" ca="1">OFFSET(INDIRECT("'G:\My Drive\nfl-model-site\data\[nfl_predict_outcome"&amp;$C75&amp;".csv]nfl_predict_outcome"&amp;$C75&amp;"'!A2"),$B75,I$1)</f>
        <v>WSH</v>
      </c>
      <c r="J75" cm="1">
        <f t="array" aca="1" ref="J75" ca="1">OFFSET(INDIRECT("'G:\My Drive\nfl-model-site\data\[nfl_predict_outcome"&amp;$C75&amp;".csv]nfl_predict_outcome"&amp;$C75&amp;"'!A2"),$B75,J$1)</f>
        <v>-2.1</v>
      </c>
      <c r="K75" t="str" cm="1">
        <f t="array" aca="1" ref="K75" ca="1">OFFSET(INDIRECT("'G:\My Drive\nfl-model-site\data\[nfl_predict_outcome"&amp;$C75&amp;".csv]nfl_predict_outcome"&amp;$C75&amp;"'!A2"),$B75,K$1)</f>
        <v>with</v>
      </c>
      <c r="L75" cm="1">
        <f t="array" aca="1" ref="L75" ca="1">OFFSET(INDIRECT("'G:\My Drive\nfl-model-site\data\[nfl_predict_outcome"&amp;$C75&amp;".csv]nfl_predict_outcome"&amp;$C75&amp;"'!A2"),$B75,L$1)</f>
        <v>-3.5</v>
      </c>
      <c r="M75" cm="1">
        <f t="array" aca="1" ref="M75" ca="1">_xlfn.XLOOKUP($D75&amp;$F75&amp;$E75&amp;$G75,[1]nfl_historical_matchup_data!$B:$B&amp;[1]nfl_historical_matchup_data!$C:$C&amp;[1]nfl_historical_matchup_data!$L:$L&amp;[1]nfl_historical_matchup_data!$E:$E,[1]nfl_historical_matchup_data!$I:$I)</f>
        <v>27</v>
      </c>
      <c r="N75" cm="1">
        <f t="array" aca="1" ref="N75" ca="1">_xlfn.XLOOKUP($D75&amp;$F75&amp;$E75&amp;$G75,[1]nfl_historical_matchup_data!$B:$B&amp;[1]nfl_historical_matchup_data!$C:$C&amp;[1]nfl_historical_matchup_data!$L:$L&amp;[1]nfl_historical_matchup_data!$E:$E,[1]nfl_historical_matchup_data!$J:$J)</f>
        <v>27</v>
      </c>
      <c r="O75" t="str">
        <f t="shared" ca="1" si="23"/>
        <v>NYG</v>
      </c>
      <c r="P75" t="str">
        <f t="shared" ca="1" si="24"/>
        <v>WSH</v>
      </c>
      <c r="Q75">
        <f t="shared" ca="1" si="25"/>
        <v>27</v>
      </c>
      <c r="R75">
        <f t="shared" ca="1" si="26"/>
        <v>30.5</v>
      </c>
      <c r="S75" t="str">
        <f t="shared" ca="1" si="27"/>
        <v>Win</v>
      </c>
    </row>
    <row r="76" spans="1:19" x14ac:dyDescent="0.35">
      <c r="A76">
        <f t="shared" ca="1" si="28"/>
        <v>15</v>
      </c>
      <c r="B76">
        <f t="shared" si="21"/>
        <v>9</v>
      </c>
      <c r="C76" t="str">
        <f t="shared" si="22"/>
        <v>2026w5p0</v>
      </c>
      <c r="D76">
        <v>2026</v>
      </c>
      <c r="E76">
        <v>0</v>
      </c>
      <c r="F76">
        <v>5</v>
      </c>
      <c r="G76" t="str" cm="1">
        <f t="array" aca="1" ref="G76" ca="1">OFFSET(INDIRECT("'G:\My Drive\nfl-model-site\data\[nfl_predict_outcome"&amp;$C76&amp;".csv]nfl_predict_outcome"&amp;$C76&amp;"'!A2"),$B76,G$1)</f>
        <v>GB</v>
      </c>
      <c r="H76" t="str" cm="1">
        <f t="array" aca="1" ref="H76" ca="1">OFFSET(INDIRECT("'G:\My Drive\nfl-model-site\data\[nfl_predict_outcome"&amp;$C76&amp;".csv]nfl_predict_outcome"&amp;$C76&amp;"'!A2"),$B76,H$1)</f>
        <v>CHI</v>
      </c>
      <c r="I76" t="str" cm="1">
        <f t="array" aca="1" ref="I76" ca="1">OFFSET(INDIRECT("'G:\My Drive\nfl-model-site\data\[nfl_predict_outcome"&amp;$C76&amp;".csv]nfl_predict_outcome"&amp;$C76&amp;"'!A2"),$B76,I$1)</f>
        <v>CHI</v>
      </c>
      <c r="J76" cm="1">
        <f t="array" aca="1" ref="J76" ca="1">OFFSET(INDIRECT("'G:\My Drive\nfl-model-site\data\[nfl_predict_outcome"&amp;$C76&amp;".csv]nfl_predict_outcome"&amp;$C76&amp;"'!A2"),$B76,J$1)</f>
        <v>-1.5</v>
      </c>
      <c r="K76" t="str" cm="1">
        <f t="array" aca="1" ref="K76" ca="1">OFFSET(INDIRECT("'G:\My Drive\nfl-model-site\data\[nfl_predict_outcome"&amp;$C76&amp;".csv]nfl_predict_outcome"&amp;$C76&amp;"'!A2"),$B76,K$1)</f>
        <v>with</v>
      </c>
      <c r="L76" cm="1">
        <f t="array" aca="1" ref="L76" ca="1">OFFSET(INDIRECT("'G:\My Drive\nfl-model-site\data\[nfl_predict_outcome"&amp;$C76&amp;".csv]nfl_predict_outcome"&amp;$C76&amp;"'!A2"),$B76,L$1)</f>
        <v>-1.5</v>
      </c>
      <c r="M76" cm="1">
        <f t="array" aca="1" ref="M76" ca="1">_xlfn.XLOOKUP($D76&amp;$F76&amp;$E76&amp;$G76,[1]nfl_historical_matchup_data!$B:$B&amp;[1]nfl_historical_matchup_data!$C:$C&amp;[1]nfl_historical_matchup_data!$L:$L&amp;[1]nfl_historical_matchup_data!$E:$E,[1]nfl_historical_matchup_data!$I:$I)</f>
        <v>31</v>
      </c>
      <c r="N76" cm="1">
        <f t="array" aca="1" ref="N76" ca="1">_xlfn.XLOOKUP($D76&amp;$F76&amp;$E76&amp;$G76,[1]nfl_historical_matchup_data!$B:$B&amp;[1]nfl_historical_matchup_data!$C:$C&amp;[1]nfl_historical_matchup_data!$L:$L&amp;[1]nfl_historical_matchup_data!$E:$E,[1]nfl_historical_matchup_data!$J:$J)</f>
        <v>7</v>
      </c>
      <c r="O76" t="str">
        <f t="shared" ca="1" si="23"/>
        <v>GB</v>
      </c>
      <c r="P76" t="str">
        <f t="shared" ca="1" si="24"/>
        <v>CHI</v>
      </c>
      <c r="Q76">
        <f t="shared" ca="1" si="25"/>
        <v>32.5</v>
      </c>
      <c r="R76">
        <f t="shared" ca="1" si="26"/>
        <v>7</v>
      </c>
      <c r="S76" t="str">
        <f t="shared" ca="1" si="27"/>
        <v>Win</v>
      </c>
    </row>
    <row r="77" spans="1:19" x14ac:dyDescent="0.35">
      <c r="A77">
        <f t="shared" ca="1" si="28"/>
        <v>15</v>
      </c>
      <c r="B77">
        <f t="shared" si="21"/>
        <v>10</v>
      </c>
      <c r="C77" t="str">
        <f t="shared" si="22"/>
        <v>2026w5p0</v>
      </c>
      <c r="D77">
        <v>2026</v>
      </c>
      <c r="E77">
        <v>0</v>
      </c>
      <c r="F77">
        <v>5</v>
      </c>
      <c r="G77" t="str" cm="1">
        <f t="array" aca="1" ref="G77" ca="1">OFFSET(INDIRECT("'G:\My Drive\nfl-model-site\data\[nfl_predict_outcome"&amp;$C77&amp;".csv]nfl_predict_outcome"&amp;$C77&amp;"'!A2"),$B77,G$1)</f>
        <v>NO</v>
      </c>
      <c r="H77" t="str" cm="1">
        <f t="array" aca="1" ref="H77" ca="1">OFFSET(INDIRECT("'G:\My Drive\nfl-model-site\data\[nfl_predict_outcome"&amp;$C77&amp;".csv]nfl_predict_outcome"&amp;$C77&amp;"'!A2"),$B77,H$1)</f>
        <v>MIN</v>
      </c>
      <c r="I77" t="str" cm="1">
        <f t="array" aca="1" ref="I77" ca="1">OFFSET(INDIRECT("'G:\My Drive\nfl-model-site\data\[nfl_predict_outcome"&amp;$C77&amp;".csv]nfl_predict_outcome"&amp;$C77&amp;"'!A2"),$B77,I$1)</f>
        <v>NO</v>
      </c>
      <c r="J77" cm="1">
        <f t="array" aca="1" ref="J77" ca="1">OFFSET(INDIRECT("'G:\My Drive\nfl-model-site\data\[nfl_predict_outcome"&amp;$C77&amp;".csv]nfl_predict_outcome"&amp;$C77&amp;"'!A2"),$B77,J$1)</f>
        <v>-3.5</v>
      </c>
      <c r="K77" t="str" cm="1">
        <f t="array" aca="1" ref="K77" ca="1">OFFSET(INDIRECT("'G:\My Drive\nfl-model-site\data\[nfl_predict_outcome"&amp;$C77&amp;".csv]nfl_predict_outcome"&amp;$C77&amp;"'!A2"),$B77,K$1)</f>
        <v>against</v>
      </c>
      <c r="L77" cm="1">
        <f t="array" aca="1" ref="L77" ca="1">OFFSET(INDIRECT("'G:\My Drive\nfl-model-site\data\[nfl_predict_outcome"&amp;$C77&amp;".csv]nfl_predict_outcome"&amp;$C77&amp;"'!A2"),$B77,L$1)</f>
        <v>2.2999999999999998</v>
      </c>
      <c r="M77" cm="1">
        <f t="array" aca="1" ref="M77" ca="1">_xlfn.XLOOKUP($D77&amp;$F77&amp;$E77&amp;$G77,[1]nfl_historical_matchup_data!$B:$B&amp;[1]nfl_historical_matchup_data!$C:$C&amp;[1]nfl_historical_matchup_data!$L:$L&amp;[1]nfl_historical_matchup_data!$E:$E,[1]nfl_historical_matchup_data!$I:$I)</f>
        <v>13</v>
      </c>
      <c r="N77" cm="1">
        <f t="array" aca="1" ref="N77" ca="1">_xlfn.XLOOKUP($D77&amp;$F77&amp;$E77&amp;$G77,[1]nfl_historical_matchup_data!$B:$B&amp;[1]nfl_historical_matchup_data!$C:$C&amp;[1]nfl_historical_matchup_data!$L:$L&amp;[1]nfl_historical_matchup_data!$E:$E,[1]nfl_historical_matchup_data!$J:$J)</f>
        <v>23</v>
      </c>
      <c r="O77" t="str">
        <f t="shared" ca="1" si="23"/>
        <v>NO</v>
      </c>
      <c r="P77" t="str">
        <f t="shared" ca="1" si="24"/>
        <v>MIN</v>
      </c>
      <c r="Q77">
        <f t="shared" ca="1" si="25"/>
        <v>15.3</v>
      </c>
      <c r="R77">
        <f t="shared" ca="1" si="26"/>
        <v>23</v>
      </c>
      <c r="S77" t="str">
        <f t="shared" ca="1" si="27"/>
        <v>Lose</v>
      </c>
    </row>
    <row r="78" spans="1:19" x14ac:dyDescent="0.35">
      <c r="A78">
        <f t="shared" ca="1" si="28"/>
        <v>15</v>
      </c>
      <c r="B78">
        <f t="shared" si="21"/>
        <v>11</v>
      </c>
      <c r="C78" t="str">
        <f t="shared" si="22"/>
        <v>2026w5p0</v>
      </c>
      <c r="D78">
        <v>2026</v>
      </c>
      <c r="E78">
        <v>0</v>
      </c>
      <c r="F78">
        <v>5</v>
      </c>
      <c r="G78" t="str" cm="1">
        <f t="array" aca="1" ref="G78" ca="1">OFFSET(INDIRECT("'G:\My Drive\nfl-model-site\data\[nfl_predict_outcome"&amp;$C78&amp;".csv]nfl_predict_outcome"&amp;$C78&amp;"'!A2"),$B78,G$1)</f>
        <v>ATL</v>
      </c>
      <c r="H78" t="str" cm="1">
        <f t="array" aca="1" ref="H78" ca="1">OFFSET(INDIRECT("'G:\My Drive\nfl-model-site\data\[nfl_predict_outcome"&amp;$C78&amp;".csv]nfl_predict_outcome"&amp;$C78&amp;"'!A2"),$B78,H$1)</f>
        <v>BAL</v>
      </c>
      <c r="I78" t="str" cm="1">
        <f t="array" aca="1" ref="I78" ca="1">OFFSET(INDIRECT("'G:\My Drive\nfl-model-site\data\[nfl_predict_outcome"&amp;$C78&amp;".csv]nfl_predict_outcome"&amp;$C78&amp;"'!A2"),$B78,I$1)</f>
        <v>BAL</v>
      </c>
      <c r="J78" cm="1">
        <f t="array" aca="1" ref="J78" ca="1">OFFSET(INDIRECT("'G:\My Drive\nfl-model-site\data\[nfl_predict_outcome"&amp;$C78&amp;".csv]nfl_predict_outcome"&amp;$C78&amp;"'!A2"),$B78,J$1)</f>
        <v>-3.4</v>
      </c>
      <c r="K78" t="str" cm="1">
        <f t="array" aca="1" ref="K78" ca="1">OFFSET(INDIRECT("'G:\My Drive\nfl-model-site\data\[nfl_predict_outcome"&amp;$C78&amp;".csv]nfl_predict_outcome"&amp;$C78&amp;"'!A2"),$B78,K$1)</f>
        <v>against</v>
      </c>
      <c r="L78" cm="1">
        <f t="array" aca="1" ref="L78" ca="1">OFFSET(INDIRECT("'G:\My Drive\nfl-model-site\data\[nfl_predict_outcome"&amp;$C78&amp;".csv]nfl_predict_outcome"&amp;$C78&amp;"'!A2"),$B78,L$1)</f>
        <v>3.3</v>
      </c>
      <c r="M78" cm="1">
        <f t="array" aca="1" ref="M78" ca="1">_xlfn.XLOOKUP($D78&amp;$F78&amp;$E78&amp;$G78,[1]nfl_historical_matchup_data!$B:$B&amp;[1]nfl_historical_matchup_data!$C:$C&amp;[1]nfl_historical_matchup_data!$L:$L&amp;[1]nfl_historical_matchup_data!$E:$E,[1]nfl_historical_matchup_data!$I:$I)</f>
        <v>23</v>
      </c>
      <c r="N78" cm="1">
        <f t="array" aca="1" ref="N78" ca="1">_xlfn.XLOOKUP($D78&amp;$F78&amp;$E78&amp;$G78,[1]nfl_historical_matchup_data!$B:$B&amp;[1]nfl_historical_matchup_data!$C:$C&amp;[1]nfl_historical_matchup_data!$L:$L&amp;[1]nfl_historical_matchup_data!$E:$E,[1]nfl_historical_matchup_data!$J:$J)</f>
        <v>30</v>
      </c>
      <c r="O78" t="str">
        <f t="shared" ca="1" si="23"/>
        <v>BAL</v>
      </c>
      <c r="P78" t="str">
        <f t="shared" ca="1" si="24"/>
        <v>ATL</v>
      </c>
      <c r="Q78">
        <f t="shared" ca="1" si="25"/>
        <v>23</v>
      </c>
      <c r="R78">
        <f t="shared" ca="1" si="26"/>
        <v>33.299999999999997</v>
      </c>
      <c r="S78" t="str">
        <f t="shared" ca="1" si="27"/>
        <v>Win</v>
      </c>
    </row>
    <row r="79" spans="1:19" x14ac:dyDescent="0.35">
      <c r="A79">
        <f t="shared" ca="1" si="28"/>
        <v>15</v>
      </c>
      <c r="B79">
        <f t="shared" si="21"/>
        <v>12</v>
      </c>
      <c r="C79" t="str">
        <f t="shared" si="22"/>
        <v>2026w5p0</v>
      </c>
      <c r="D79">
        <v>2026</v>
      </c>
      <c r="E79">
        <v>0</v>
      </c>
      <c r="F79">
        <v>5</v>
      </c>
      <c r="G79" t="str" cm="1">
        <f t="array" aca="1" ref="G79" ca="1">OFFSET(INDIRECT("'G:\My Drive\nfl-model-site\data\[nfl_predict_outcome"&amp;$C79&amp;".csv]nfl_predict_outcome"&amp;$C79&amp;"'!A2"),$B79,G$1)</f>
        <v>SEA</v>
      </c>
      <c r="H79" t="str" cm="1">
        <f t="array" aca="1" ref="H79" ca="1">OFFSET(INDIRECT("'G:\My Drive\nfl-model-site\data\[nfl_predict_outcome"&amp;$C79&amp;".csv]nfl_predict_outcome"&amp;$C79&amp;"'!A2"),$B79,H$1)</f>
        <v>SF</v>
      </c>
      <c r="I79" t="str" cm="1">
        <f t="array" aca="1" ref="I79" ca="1">OFFSET(INDIRECT("'G:\My Drive\nfl-model-site\data\[nfl_predict_outcome"&amp;$C79&amp;".csv]nfl_predict_outcome"&amp;$C79&amp;"'!A2"),$B79,I$1)</f>
        <v>SF</v>
      </c>
      <c r="J79" cm="1">
        <f t="array" aca="1" ref="J79" ca="1">OFFSET(INDIRECT("'G:\My Drive\nfl-model-site\data\[nfl_predict_outcome"&amp;$C79&amp;".csv]nfl_predict_outcome"&amp;$C79&amp;"'!A2"),$B79,J$1)</f>
        <v>-2.9</v>
      </c>
      <c r="K79" t="str" cm="1">
        <f t="array" aca="1" ref="K79" ca="1">OFFSET(INDIRECT("'G:\My Drive\nfl-model-site\data\[nfl_predict_outcome"&amp;$C79&amp;".csv]nfl_predict_outcome"&amp;$C79&amp;"'!A2"),$B79,K$1)</f>
        <v>against</v>
      </c>
      <c r="L79" cm="1">
        <f t="array" aca="1" ref="L79" ca="1">OFFSET(INDIRECT("'G:\My Drive\nfl-model-site\data\[nfl_predict_outcome"&amp;$C79&amp;".csv]nfl_predict_outcome"&amp;$C79&amp;"'!A2"),$B79,L$1)</f>
        <v>3</v>
      </c>
      <c r="M79" cm="1">
        <f t="array" aca="1" ref="M79" ca="1">_xlfn.XLOOKUP($D79&amp;$F79&amp;$E79&amp;$G79,[1]nfl_historical_matchup_data!$B:$B&amp;[1]nfl_historical_matchup_data!$C:$C&amp;[1]nfl_historical_matchup_data!$L:$L&amp;[1]nfl_historical_matchup_data!$E:$E,[1]nfl_historical_matchup_data!$I:$I)</f>
        <v>29</v>
      </c>
      <c r="N79" cm="1">
        <f t="array" aca="1" ref="N79" ca="1">_xlfn.XLOOKUP($D79&amp;$F79&amp;$E79&amp;$G79,[1]nfl_historical_matchup_data!$B:$B&amp;[1]nfl_historical_matchup_data!$C:$C&amp;[1]nfl_historical_matchup_data!$L:$L&amp;[1]nfl_historical_matchup_data!$E:$E,[1]nfl_historical_matchup_data!$J:$J)</f>
        <v>32</v>
      </c>
      <c r="O79" t="str">
        <f t="shared" ca="1" si="23"/>
        <v>SF</v>
      </c>
      <c r="P79" t="str">
        <f t="shared" ca="1" si="24"/>
        <v>SEA</v>
      </c>
      <c r="Q79">
        <f t="shared" ca="1" si="25"/>
        <v>29</v>
      </c>
      <c r="R79">
        <f t="shared" ca="1" si="26"/>
        <v>35</v>
      </c>
      <c r="S79" t="str">
        <f t="shared" ca="1" si="27"/>
        <v>Win</v>
      </c>
    </row>
    <row r="80" spans="1:19" x14ac:dyDescent="0.35">
      <c r="A80">
        <f t="shared" ca="1" si="28"/>
        <v>15</v>
      </c>
      <c r="B80">
        <f t="shared" si="21"/>
        <v>13</v>
      </c>
      <c r="C80" t="str">
        <f t="shared" si="22"/>
        <v>2026w5p0</v>
      </c>
      <c r="D80">
        <v>2026</v>
      </c>
      <c r="E80">
        <v>0</v>
      </c>
      <c r="F80">
        <v>5</v>
      </c>
      <c r="G80" t="str" cm="1">
        <f t="array" aca="1" ref="G80" ca="1">OFFSET(INDIRECT("'G:\My Drive\nfl-model-site\data\[nfl_predict_outcome"&amp;$C80&amp;".csv]nfl_predict_outcome"&amp;$C80&amp;"'!A2"),$B80,G$1)</f>
        <v>LAR</v>
      </c>
      <c r="H80" t="str" cm="1">
        <f t="array" aca="1" ref="H80" ca="1">OFFSET(INDIRECT("'G:\My Drive\nfl-model-site\data\[nfl_predict_outcome"&amp;$C80&amp;".csv]nfl_predict_outcome"&amp;$C80&amp;"'!A2"),$B80,H$1)</f>
        <v>BUF</v>
      </c>
      <c r="I80" t="str" cm="1">
        <f t="array" aca="1" ref="I80" ca="1">OFFSET(INDIRECT("'G:\My Drive\nfl-model-site\data\[nfl_predict_outcome"&amp;$C80&amp;".csv]nfl_predict_outcome"&amp;$C80&amp;"'!A2"),$B80,I$1)</f>
        <v>BUF</v>
      </c>
      <c r="J80" cm="1">
        <f t="array" aca="1" ref="J80" ca="1">OFFSET(INDIRECT("'G:\My Drive\nfl-model-site\data\[nfl_predict_outcome"&amp;$C80&amp;".csv]nfl_predict_outcome"&amp;$C80&amp;"'!A2"),$B80,J$1)</f>
        <v>-3</v>
      </c>
      <c r="K80" t="str" cm="1">
        <f t="array" aca="1" ref="K80" ca="1">OFFSET(INDIRECT("'G:\My Drive\nfl-model-site\data\[nfl_predict_outcome"&amp;$C80&amp;".csv]nfl_predict_outcome"&amp;$C80&amp;"'!A2"),$B80,K$1)</f>
        <v>against</v>
      </c>
      <c r="L80" cm="1">
        <f t="array" aca="1" ref="L80" ca="1">OFFSET(INDIRECT("'G:\My Drive\nfl-model-site\data\[nfl_predict_outcome"&amp;$C80&amp;".csv]nfl_predict_outcome"&amp;$C80&amp;"'!A2"),$B80,L$1)</f>
        <v>3.5</v>
      </c>
      <c r="M80" cm="1">
        <f t="array" aca="1" ref="M80" ca="1">_xlfn.XLOOKUP($D80&amp;$F80&amp;$E80&amp;$G80,[1]nfl_historical_matchup_data!$B:$B&amp;[1]nfl_historical_matchup_data!$C:$C&amp;[1]nfl_historical_matchup_data!$L:$L&amp;[1]nfl_historical_matchup_data!$E:$E,[1]nfl_historical_matchup_data!$I:$I)</f>
        <v>34</v>
      </c>
      <c r="N80" cm="1">
        <f t="array" aca="1" ref="N80" ca="1">_xlfn.XLOOKUP($D80&amp;$F80&amp;$E80&amp;$G80,[1]nfl_historical_matchup_data!$B:$B&amp;[1]nfl_historical_matchup_data!$C:$C&amp;[1]nfl_historical_matchup_data!$L:$L&amp;[1]nfl_historical_matchup_data!$E:$E,[1]nfl_historical_matchup_data!$J:$J)</f>
        <v>37</v>
      </c>
      <c r="O80" t="str">
        <f t="shared" ca="1" si="23"/>
        <v>BUF</v>
      </c>
      <c r="P80" t="str">
        <f t="shared" ca="1" si="24"/>
        <v>LAR</v>
      </c>
      <c r="Q80">
        <f t="shared" ca="1" si="25"/>
        <v>34</v>
      </c>
      <c r="R80">
        <f t="shared" ca="1" si="26"/>
        <v>40.5</v>
      </c>
      <c r="S80" t="str">
        <f t="shared" ca="1" si="27"/>
        <v>Win</v>
      </c>
    </row>
    <row r="81" spans="1:19" x14ac:dyDescent="0.35">
      <c r="A81">
        <f t="shared" ca="1" si="28"/>
        <v>15</v>
      </c>
      <c r="B81">
        <f t="shared" si="21"/>
        <v>14</v>
      </c>
      <c r="C81" t="str">
        <f t="shared" si="22"/>
        <v>2026w5p0</v>
      </c>
      <c r="D81">
        <v>2026</v>
      </c>
      <c r="E81">
        <v>0</v>
      </c>
      <c r="F81">
        <v>5</v>
      </c>
      <c r="G81" t="str" cm="1">
        <f t="array" aca="1" ref="G81" ca="1">OFFSET(INDIRECT("'G:\My Drive\nfl-model-site\data\[nfl_predict_outcome"&amp;$C81&amp;".csv]nfl_predict_outcome"&amp;$C81&amp;"'!A2"),$B81,G$1)</f>
        <v>ARI</v>
      </c>
      <c r="H81" t="str" cm="1">
        <f t="array" aca="1" ref="H81" ca="1">OFFSET(INDIRECT("'G:\My Drive\nfl-model-site\data\[nfl_predict_outcome"&amp;$C81&amp;".csv]nfl_predict_outcome"&amp;$C81&amp;"'!A2"),$B81,H$1)</f>
        <v>DET</v>
      </c>
      <c r="I81" t="str" cm="1">
        <f t="array" aca="1" ref="I81" ca="1">OFFSET(INDIRECT("'G:\My Drive\nfl-model-site\data\[nfl_predict_outcome"&amp;$C81&amp;".csv]nfl_predict_outcome"&amp;$C81&amp;"'!A2"),$B81,I$1)</f>
        <v>DET</v>
      </c>
      <c r="J81" cm="1">
        <f t="array" aca="1" ref="J81" ca="1">OFFSET(INDIRECT("'G:\My Drive\nfl-model-site\data\[nfl_predict_outcome"&amp;$C81&amp;".csv]nfl_predict_outcome"&amp;$C81&amp;"'!A2"),$B81,J$1)</f>
        <v>-5.6</v>
      </c>
      <c r="K81" t="str" cm="1">
        <f t="array" aca="1" ref="K81" ca="1">OFFSET(INDIRECT("'G:\My Drive\nfl-model-site\data\[nfl_predict_outcome"&amp;$C81&amp;".csv]nfl_predict_outcome"&amp;$C81&amp;"'!A2"),$B81,K$1)</f>
        <v>with</v>
      </c>
      <c r="L81" cm="1">
        <f t="array" aca="1" ref="L81" ca="1">OFFSET(INDIRECT("'G:\My Drive\nfl-model-site\data\[nfl_predict_outcome"&amp;$C81&amp;".csv]nfl_predict_outcome"&amp;$C81&amp;"'!A2"),$B81,L$1)</f>
        <v>-5.5</v>
      </c>
      <c r="M81" cm="1">
        <f t="array" aca="1" ref="M81" ca="1">_xlfn.XLOOKUP($D81&amp;$F81&amp;$E81&amp;$G81,[1]nfl_historical_matchup_data!$B:$B&amp;[1]nfl_historical_matchup_data!$C:$C&amp;[1]nfl_historical_matchup_data!$L:$L&amp;[1]nfl_historical_matchup_data!$E:$E,[1]nfl_historical_matchup_data!$I:$I)</f>
        <v>21</v>
      </c>
      <c r="N81" cm="1">
        <f t="array" aca="1" ref="N81" ca="1">_xlfn.XLOOKUP($D81&amp;$F81&amp;$E81&amp;$G81,[1]nfl_historical_matchup_data!$B:$B&amp;[1]nfl_historical_matchup_data!$C:$C&amp;[1]nfl_historical_matchup_data!$L:$L&amp;[1]nfl_historical_matchup_data!$E:$E,[1]nfl_historical_matchup_data!$J:$J)</f>
        <v>45</v>
      </c>
      <c r="O81" t="str">
        <f t="shared" ca="1" si="23"/>
        <v>DET</v>
      </c>
      <c r="P81" t="str">
        <f t="shared" ca="1" si="24"/>
        <v>DET</v>
      </c>
      <c r="Q81">
        <f t="shared" ca="1" si="25"/>
        <v>26.5</v>
      </c>
      <c r="R81">
        <f t="shared" ca="1" si="26"/>
        <v>45</v>
      </c>
      <c r="S81" t="str">
        <f t="shared" ca="1" si="27"/>
        <v>Win</v>
      </c>
    </row>
    <row r="82" spans="1:19" x14ac:dyDescent="0.35">
      <c r="A82">
        <f t="shared" ca="1" si="28"/>
        <v>14</v>
      </c>
      <c r="B82">
        <f t="shared" ref="B82:B94" si="29">IF(C82&lt;&gt;C81,0,B81+1)</f>
        <v>0</v>
      </c>
      <c r="C82" t="str">
        <f t="shared" ref="C82:C94" si="30">D82&amp;"w"&amp;F82&amp;"p"&amp;E82</f>
        <v>2026w6p0</v>
      </c>
      <c r="D82">
        <v>2026</v>
      </c>
      <c r="E82">
        <v>0</v>
      </c>
      <c r="F82">
        <v>6</v>
      </c>
      <c r="G82" t="str" cm="1">
        <f t="array" aca="1" ref="G82" ca="1">OFFSET(INDIRECT("'G:\My Drive\nfl-model-site\data\[nfl_predict_outcome"&amp;$C82&amp;".csv]nfl_predict_outcome"&amp;$C82&amp;"'!A2"),$B82,G$1)</f>
        <v>NE</v>
      </c>
      <c r="H82" t="str" cm="1">
        <f t="array" aca="1" ref="H82" ca="1">OFFSET(INDIRECT("'G:\My Drive\nfl-model-site\data\[nfl_predict_outcome"&amp;$C82&amp;".csv]nfl_predict_outcome"&amp;$C82&amp;"'!A2"),$B82,H$1)</f>
        <v>NYJ</v>
      </c>
      <c r="I82" t="str" cm="1">
        <f t="array" aca="1" ref="I82" ca="1">OFFSET(INDIRECT("'G:\My Drive\nfl-model-site\data\[nfl_predict_outcome"&amp;$C82&amp;".csv]nfl_predict_outcome"&amp;$C82&amp;"'!A2"),$B82,I$1)</f>
        <v>NE</v>
      </c>
      <c r="J82" cm="1">
        <f t="array" aca="1" ref="J82" ca="1">OFFSET(INDIRECT("'G:\My Drive\nfl-model-site\data\[nfl_predict_outcome"&amp;$C82&amp;".csv]nfl_predict_outcome"&amp;$C82&amp;"'!A2"),$B82,J$1)</f>
        <v>-10</v>
      </c>
      <c r="K82" t="str" cm="1">
        <f t="array" aca="1" ref="K82" ca="1">OFFSET(INDIRECT("'G:\My Drive\nfl-model-site\data\[nfl_predict_outcome"&amp;$C82&amp;".csv]nfl_predict_outcome"&amp;$C82&amp;"'!A2"),$B82,K$1)</f>
        <v>with</v>
      </c>
      <c r="L82" cm="1">
        <f t="array" aca="1" ref="L82" ca="1">OFFSET(INDIRECT("'G:\My Drive\nfl-model-site\data\[nfl_predict_outcome"&amp;$C82&amp;".csv]nfl_predict_outcome"&amp;$C82&amp;"'!A2"),$B82,L$1)</f>
        <v>-7.3</v>
      </c>
      <c r="M82" cm="1">
        <f t="array" aca="1" ref="M82" ca="1">_xlfn.XLOOKUP($D82&amp;$F82&amp;$E82&amp;$G82,[1]nfl_historical_matchup_data!$B:$B&amp;[1]nfl_historical_matchup_data!$C:$C&amp;[1]nfl_historical_matchup_data!$L:$L&amp;[1]nfl_historical_matchup_data!$E:$E,[1]nfl_historical_matchup_data!$I:$I)</f>
        <v>26</v>
      </c>
      <c r="N82" cm="1">
        <f t="array" aca="1" ref="N82" ca="1">_xlfn.XLOOKUP($D82&amp;$F82&amp;$E82&amp;$G82,[1]nfl_historical_matchup_data!$B:$B&amp;[1]nfl_historical_matchup_data!$C:$C&amp;[1]nfl_historical_matchup_data!$L:$L&amp;[1]nfl_historical_matchup_data!$E:$E,[1]nfl_historical_matchup_data!$J:$J)</f>
        <v>19</v>
      </c>
      <c r="O82" t="str">
        <f t="shared" ref="O82:O95" ca="1" si="31">IF(K82="with",IF(J82&lt;L82,I82,IF(G82=I82,H82,G82)),I82)</f>
        <v>NE</v>
      </c>
      <c r="P82" t="str">
        <f t="shared" ref="P82:P95" ca="1" si="32">IF(K82="with",I82,IF(I82=G82,H82,G82))</f>
        <v>NE</v>
      </c>
      <c r="Q82">
        <f t="shared" ref="Q82:Q95" ca="1" si="33">IF(G82=P82,M82,M82+ABS(L82))</f>
        <v>26</v>
      </c>
      <c r="R82">
        <f t="shared" ref="R82:R95" ca="1" si="34">IF(P82=H82,N82,N82+ABS(L82))</f>
        <v>26.3</v>
      </c>
      <c r="S82" t="str">
        <f t="shared" ref="S82:S95" ca="1" si="35">IF(O82=G82,IF(Q82&gt;R82,"Win",IF(Q82=R82,"Push","Lose")),IF(R82&gt;Q82,"Win",IF(R82=Q82,"Push","Lose")))</f>
        <v>Lose</v>
      </c>
    </row>
    <row r="83" spans="1:19" x14ac:dyDescent="0.35">
      <c r="A83">
        <f t="shared" ca="1" si="28"/>
        <v>14</v>
      </c>
      <c r="B83">
        <f t="shared" si="29"/>
        <v>1</v>
      </c>
      <c r="C83" t="str">
        <f t="shared" si="30"/>
        <v>2026w6p0</v>
      </c>
      <c r="D83">
        <v>2026</v>
      </c>
      <c r="E83">
        <v>0</v>
      </c>
      <c r="F83">
        <v>6</v>
      </c>
      <c r="G83" t="str" cm="1">
        <f t="array" aca="1" ref="G83" ca="1">OFFSET(INDIRECT("'G:\My Drive\nfl-model-site\data\[nfl_predict_outcome"&amp;$C83&amp;".csv]nfl_predict_outcome"&amp;$C83&amp;"'!A2"),$B83,G$1)</f>
        <v>CLE</v>
      </c>
      <c r="H83" t="str" cm="1">
        <f t="array" aca="1" ref="H83" ca="1">OFFSET(INDIRECT("'G:\My Drive\nfl-model-site\data\[nfl_predict_outcome"&amp;$C83&amp;".csv]nfl_predict_outcome"&amp;$C83&amp;"'!A2"),$B83,H$1)</f>
        <v>BAL</v>
      </c>
      <c r="I83" t="str" cm="1">
        <f t="array" aca="1" ref="I83" ca="1">OFFSET(INDIRECT("'G:\My Drive\nfl-model-site\data\[nfl_predict_outcome"&amp;$C83&amp;".csv]nfl_predict_outcome"&amp;$C83&amp;"'!A2"),$B83,I$1)</f>
        <v>BAL</v>
      </c>
      <c r="J83" cm="1">
        <f t="array" aca="1" ref="J83" ca="1">OFFSET(INDIRECT("'G:\My Drive\nfl-model-site\data\[nfl_predict_outcome"&amp;$C83&amp;".csv]nfl_predict_outcome"&amp;$C83&amp;"'!A2"),$B83,J$1)</f>
        <v>-6.8</v>
      </c>
      <c r="K83" t="str" cm="1">
        <f t="array" aca="1" ref="K83" ca="1">OFFSET(INDIRECT("'G:\My Drive\nfl-model-site\data\[nfl_predict_outcome"&amp;$C83&amp;".csv]nfl_predict_outcome"&amp;$C83&amp;"'!A2"),$B83,K$1)</f>
        <v>with</v>
      </c>
      <c r="L83" cm="1">
        <f t="array" aca="1" ref="L83" ca="1">OFFSET(INDIRECT("'G:\My Drive\nfl-model-site\data\[nfl_predict_outcome"&amp;$C83&amp;".csv]nfl_predict_outcome"&amp;$C83&amp;"'!A2"),$B83,L$1)</f>
        <v>-3</v>
      </c>
      <c r="M83" cm="1">
        <f t="array" aca="1" ref="M83" ca="1">_xlfn.XLOOKUP($D83&amp;$F83&amp;$E83&amp;$G83,[1]nfl_historical_matchup_data!$B:$B&amp;[1]nfl_historical_matchup_data!$C:$C&amp;[1]nfl_historical_matchup_data!$L:$L&amp;[1]nfl_historical_matchup_data!$E:$E,[1]nfl_historical_matchup_data!$I:$I)</f>
        <v>13</v>
      </c>
      <c r="N83" cm="1">
        <f t="array" aca="1" ref="N83" ca="1">_xlfn.XLOOKUP($D83&amp;$F83&amp;$E83&amp;$G83,[1]nfl_historical_matchup_data!$B:$B&amp;[1]nfl_historical_matchup_data!$C:$C&amp;[1]nfl_historical_matchup_data!$L:$L&amp;[1]nfl_historical_matchup_data!$E:$E,[1]nfl_historical_matchup_data!$J:$J)</f>
        <v>10</v>
      </c>
      <c r="O83" t="str">
        <f t="shared" ca="1" si="31"/>
        <v>BAL</v>
      </c>
      <c r="P83" t="str">
        <f t="shared" ca="1" si="32"/>
        <v>BAL</v>
      </c>
      <c r="Q83">
        <f t="shared" ca="1" si="33"/>
        <v>16</v>
      </c>
      <c r="R83">
        <f t="shared" ca="1" si="34"/>
        <v>10</v>
      </c>
      <c r="S83" t="str">
        <f t="shared" ca="1" si="35"/>
        <v>Lose</v>
      </c>
    </row>
    <row r="84" spans="1:19" x14ac:dyDescent="0.35">
      <c r="A84">
        <f t="shared" ca="1" si="28"/>
        <v>14</v>
      </c>
      <c r="B84">
        <f t="shared" si="29"/>
        <v>2</v>
      </c>
      <c r="C84" t="str">
        <f t="shared" si="30"/>
        <v>2026w6p0</v>
      </c>
      <c r="D84">
        <v>2026</v>
      </c>
      <c r="E84">
        <v>0</v>
      </c>
      <c r="F84">
        <v>6</v>
      </c>
      <c r="G84" t="str" cm="1">
        <f t="array" aca="1" ref="G84" ca="1">OFFSET(INDIRECT("'G:\My Drive\nfl-model-site\data\[nfl_predict_outcome"&amp;$C84&amp;".csv]nfl_predict_outcome"&amp;$C84&amp;"'!A2"),$B84,G$1)</f>
        <v>IND</v>
      </c>
      <c r="H84" t="str" cm="1">
        <f t="array" aca="1" ref="H84" ca="1">OFFSET(INDIRECT("'G:\My Drive\nfl-model-site\data\[nfl_predict_outcome"&amp;$C84&amp;".csv]nfl_predict_outcome"&amp;$C84&amp;"'!A2"),$B84,H$1)</f>
        <v>TEN</v>
      </c>
      <c r="I84" t="str" cm="1">
        <f t="array" aca="1" ref="I84" ca="1">OFFSET(INDIRECT("'G:\My Drive\nfl-model-site\data\[nfl_predict_outcome"&amp;$C84&amp;".csv]nfl_predict_outcome"&amp;$C84&amp;"'!A2"),$B84,I$1)</f>
        <v>IND</v>
      </c>
      <c r="J84" cm="1">
        <f t="array" aca="1" ref="J84" ca="1">OFFSET(INDIRECT("'G:\My Drive\nfl-model-site\data\[nfl_predict_outcome"&amp;$C84&amp;".csv]nfl_predict_outcome"&amp;$C84&amp;"'!A2"),$B84,J$1)</f>
        <v>-4.5999999999999996</v>
      </c>
      <c r="K84" t="str" cm="1">
        <f t="array" aca="1" ref="K84" ca="1">OFFSET(INDIRECT("'G:\My Drive\nfl-model-site\data\[nfl_predict_outcome"&amp;$C84&amp;".csv]nfl_predict_outcome"&amp;$C84&amp;"'!A2"),$B84,K$1)</f>
        <v>with</v>
      </c>
      <c r="L84" cm="1">
        <f t="array" aca="1" ref="L84" ca="1">OFFSET(INDIRECT("'G:\My Drive\nfl-model-site\data\[nfl_predict_outcome"&amp;$C84&amp;".csv]nfl_predict_outcome"&amp;$C84&amp;"'!A2"),$B84,L$1)</f>
        <v>-6.5</v>
      </c>
      <c r="M84" cm="1">
        <f t="array" aca="1" ref="M84" ca="1">_xlfn.XLOOKUP($D84&amp;$F84&amp;$E84&amp;$G84,[1]nfl_historical_matchup_data!$B:$B&amp;[1]nfl_historical_matchup_data!$C:$C&amp;[1]nfl_historical_matchup_data!$L:$L&amp;[1]nfl_historical_matchup_data!$E:$E,[1]nfl_historical_matchup_data!$I:$I)</f>
        <v>20</v>
      </c>
      <c r="N84" cm="1">
        <f t="array" aca="1" ref="N84" ca="1">_xlfn.XLOOKUP($D84&amp;$F84&amp;$E84&amp;$G84,[1]nfl_historical_matchup_data!$B:$B&amp;[1]nfl_historical_matchup_data!$C:$C&amp;[1]nfl_historical_matchup_data!$L:$L&amp;[1]nfl_historical_matchup_data!$E:$E,[1]nfl_historical_matchup_data!$J:$J)</f>
        <v>26</v>
      </c>
      <c r="O84" t="str">
        <f t="shared" ca="1" si="31"/>
        <v>TEN</v>
      </c>
      <c r="P84" t="str">
        <f t="shared" ca="1" si="32"/>
        <v>IND</v>
      </c>
      <c r="Q84">
        <f t="shared" ca="1" si="33"/>
        <v>20</v>
      </c>
      <c r="R84">
        <f t="shared" ca="1" si="34"/>
        <v>32.5</v>
      </c>
      <c r="S84" t="str">
        <f t="shared" ca="1" si="35"/>
        <v>Win</v>
      </c>
    </row>
    <row r="85" spans="1:19" x14ac:dyDescent="0.35">
      <c r="A85">
        <f t="shared" ca="1" si="28"/>
        <v>14</v>
      </c>
      <c r="B85">
        <f t="shared" si="29"/>
        <v>3</v>
      </c>
      <c r="C85" t="str">
        <f t="shared" si="30"/>
        <v>2026w6p0</v>
      </c>
      <c r="D85">
        <v>2026</v>
      </c>
      <c r="E85">
        <v>0</v>
      </c>
      <c r="F85">
        <v>6</v>
      </c>
      <c r="G85" t="str" cm="1">
        <f t="array" aca="1" ref="G85" ca="1">OFFSET(INDIRECT("'G:\My Drive\nfl-model-site\data\[nfl_predict_outcome"&amp;$C85&amp;".csv]nfl_predict_outcome"&amp;$C85&amp;"'!A2"),$B85,G$1)</f>
        <v>JAX</v>
      </c>
      <c r="H85" t="str" cm="1">
        <f t="array" aca="1" ref="H85" ca="1">OFFSET(INDIRECT("'G:\My Drive\nfl-model-site\data\[nfl_predict_outcome"&amp;$C85&amp;".csv]nfl_predict_outcome"&amp;$C85&amp;"'!A2"),$B85,H$1)</f>
        <v>HOU</v>
      </c>
      <c r="I85" t="str" cm="1">
        <f t="array" aca="1" ref="I85" ca="1">OFFSET(INDIRECT("'G:\My Drive\nfl-model-site\data\[nfl_predict_outcome"&amp;$C85&amp;".csv]nfl_predict_outcome"&amp;$C85&amp;"'!A2"),$B85,I$1)</f>
        <v>JAX</v>
      </c>
      <c r="J85" cm="1">
        <f t="array" aca="1" ref="J85" ca="1">OFFSET(INDIRECT("'G:\My Drive\nfl-model-site\data\[nfl_predict_outcome"&amp;$C85&amp;".csv]nfl_predict_outcome"&amp;$C85&amp;"'!A2"),$B85,J$1)</f>
        <v>-8.6999999999999993</v>
      </c>
      <c r="K85" t="str" cm="1">
        <f t="array" aca="1" ref="K85" ca="1">OFFSET(INDIRECT("'G:\My Drive\nfl-model-site\data\[nfl_predict_outcome"&amp;$C85&amp;".csv]nfl_predict_outcome"&amp;$C85&amp;"'!A2"),$B85,K$1)</f>
        <v>with</v>
      </c>
      <c r="L85" cm="1">
        <f t="array" aca="1" ref="L85" ca="1">OFFSET(INDIRECT("'G:\My Drive\nfl-model-site\data\[nfl_predict_outcome"&amp;$C85&amp;".csv]nfl_predict_outcome"&amp;$C85&amp;"'!A2"),$B85,L$1)</f>
        <v>-2.5</v>
      </c>
      <c r="M85" cm="1">
        <f t="array" aca="1" ref="M85" ca="1">_xlfn.XLOOKUP($D85&amp;$F85&amp;$E85&amp;$G85,[1]nfl_historical_matchup_data!$B:$B&amp;[1]nfl_historical_matchup_data!$C:$C&amp;[1]nfl_historical_matchup_data!$L:$L&amp;[1]nfl_historical_matchup_data!$E:$E,[1]nfl_historical_matchup_data!$I:$I)</f>
        <v>31</v>
      </c>
      <c r="N85" cm="1">
        <f t="array" aca="1" ref="N85" ca="1">_xlfn.XLOOKUP($D85&amp;$F85&amp;$E85&amp;$G85,[1]nfl_historical_matchup_data!$B:$B&amp;[1]nfl_historical_matchup_data!$C:$C&amp;[1]nfl_historical_matchup_data!$L:$L&amp;[1]nfl_historical_matchup_data!$E:$E,[1]nfl_historical_matchup_data!$J:$J)</f>
        <v>34</v>
      </c>
      <c r="O85" t="str">
        <f t="shared" ca="1" si="31"/>
        <v>JAX</v>
      </c>
      <c r="P85" t="str">
        <f t="shared" ca="1" si="32"/>
        <v>JAX</v>
      </c>
      <c r="Q85">
        <f t="shared" ca="1" si="33"/>
        <v>31</v>
      </c>
      <c r="R85">
        <f t="shared" ca="1" si="34"/>
        <v>36.5</v>
      </c>
      <c r="S85" t="str">
        <f t="shared" ca="1" si="35"/>
        <v>Lose</v>
      </c>
    </row>
    <row r="86" spans="1:19" x14ac:dyDescent="0.35">
      <c r="A86">
        <f t="shared" ca="1" si="28"/>
        <v>14</v>
      </c>
      <c r="B86">
        <f t="shared" si="29"/>
        <v>4</v>
      </c>
      <c r="C86" t="str">
        <f t="shared" si="30"/>
        <v>2026w6p0</v>
      </c>
      <c r="D86">
        <v>2026</v>
      </c>
      <c r="E86">
        <v>0</v>
      </c>
      <c r="F86">
        <v>6</v>
      </c>
      <c r="G86" t="str" cm="1">
        <f t="array" aca="1" ref="G86" ca="1">OFFSET(INDIRECT("'G:\My Drive\nfl-model-site\data\[nfl_predict_outcome"&amp;$C86&amp;".csv]nfl_predict_outcome"&amp;$C86&amp;"'!A2"),$B86,G$1)</f>
        <v>KC</v>
      </c>
      <c r="H86" t="str" cm="1">
        <f t="array" aca="1" ref="H86" ca="1">OFFSET(INDIRECT("'G:\My Drive\nfl-model-site\data\[nfl_predict_outcome"&amp;$C86&amp;".csv]nfl_predict_outcome"&amp;$C86&amp;"'!A2"),$B86,H$1)</f>
        <v>LAC</v>
      </c>
      <c r="I86" t="str" cm="1">
        <f t="array" aca="1" ref="I86" ca="1">OFFSET(INDIRECT("'G:\My Drive\nfl-model-site\data\[nfl_predict_outcome"&amp;$C86&amp;".csv]nfl_predict_outcome"&amp;$C86&amp;"'!A2"),$B86,I$1)</f>
        <v>KC</v>
      </c>
      <c r="J86" cm="1">
        <f t="array" aca="1" ref="J86" ca="1">OFFSET(INDIRECT("'G:\My Drive\nfl-model-site\data\[nfl_predict_outcome"&amp;$C86&amp;".csv]nfl_predict_outcome"&amp;$C86&amp;"'!A2"),$B86,J$1)</f>
        <v>-9.3000000000000007</v>
      </c>
      <c r="K86" t="str" cm="1">
        <f t="array" aca="1" ref="K86" ca="1">OFFSET(INDIRECT("'G:\My Drive\nfl-model-site\data\[nfl_predict_outcome"&amp;$C86&amp;".csv]nfl_predict_outcome"&amp;$C86&amp;"'!A2"),$B86,K$1)</f>
        <v>with</v>
      </c>
      <c r="L86" cm="1">
        <f t="array" aca="1" ref="L86" ca="1">OFFSET(INDIRECT("'G:\My Drive\nfl-model-site\data\[nfl_predict_outcome"&amp;$C86&amp;".csv]nfl_predict_outcome"&amp;$C86&amp;"'!A2"),$B86,L$1)</f>
        <v>-7.5</v>
      </c>
      <c r="M86" cm="1">
        <f t="array" aca="1" ref="M86" ca="1">_xlfn.XLOOKUP($D86&amp;$F86&amp;$E86&amp;$G86,[1]nfl_historical_matchup_data!$B:$B&amp;[1]nfl_historical_matchup_data!$C:$C&amp;[1]nfl_historical_matchup_data!$L:$L&amp;[1]nfl_historical_matchup_data!$E:$E,[1]nfl_historical_matchup_data!$I:$I)</f>
        <v>22</v>
      </c>
      <c r="N86" cm="1">
        <f t="array" aca="1" ref="N86" ca="1">_xlfn.XLOOKUP($D86&amp;$F86&amp;$E86&amp;$G86,[1]nfl_historical_matchup_data!$B:$B&amp;[1]nfl_historical_matchup_data!$C:$C&amp;[1]nfl_historical_matchup_data!$L:$L&amp;[1]nfl_historical_matchup_data!$E:$E,[1]nfl_historical_matchup_data!$J:$J)</f>
        <v>6</v>
      </c>
      <c r="O86" t="str">
        <f t="shared" ca="1" si="31"/>
        <v>KC</v>
      </c>
      <c r="P86" t="str">
        <f t="shared" ca="1" si="32"/>
        <v>KC</v>
      </c>
      <c r="Q86">
        <f t="shared" ca="1" si="33"/>
        <v>22</v>
      </c>
      <c r="R86">
        <f t="shared" ca="1" si="34"/>
        <v>13.5</v>
      </c>
      <c r="S86" t="str">
        <f t="shared" ca="1" si="35"/>
        <v>Win</v>
      </c>
    </row>
    <row r="87" spans="1:19" x14ac:dyDescent="0.35">
      <c r="A87">
        <f t="shared" ca="1" si="28"/>
        <v>14</v>
      </c>
      <c r="B87">
        <f t="shared" si="29"/>
        <v>5</v>
      </c>
      <c r="C87" t="str">
        <f t="shared" si="30"/>
        <v>2026w6p0</v>
      </c>
      <c r="D87">
        <v>2026</v>
      </c>
      <c r="E87">
        <v>0</v>
      </c>
      <c r="F87">
        <v>6</v>
      </c>
      <c r="G87" t="str" cm="1">
        <f t="array" aca="1" ref="G87" ca="1">OFFSET(INDIRECT("'G:\My Drive\nfl-model-site\data\[nfl_predict_outcome"&amp;$C87&amp;".csv]nfl_predict_outcome"&amp;$C87&amp;"'!A2"),$B87,G$1)</f>
        <v>DEN</v>
      </c>
      <c r="H87" t="str" cm="1">
        <f t="array" aca="1" ref="H87" ca="1">OFFSET(INDIRECT("'G:\My Drive\nfl-model-site\data\[nfl_predict_outcome"&amp;$C87&amp;".csv]nfl_predict_outcome"&amp;$C87&amp;"'!A2"),$B87,H$1)</f>
        <v>SEA</v>
      </c>
      <c r="I87" t="str" cm="1">
        <f t="array" aca="1" ref="I87" ca="1">OFFSET(INDIRECT("'G:\My Drive\nfl-model-site\data\[nfl_predict_outcome"&amp;$C87&amp;".csv]nfl_predict_outcome"&amp;$C87&amp;"'!A2"),$B87,I$1)</f>
        <v>SEA</v>
      </c>
      <c r="J87" cm="1">
        <f t="array" aca="1" ref="J87" ca="1">OFFSET(INDIRECT("'G:\My Drive\nfl-model-site\data\[nfl_predict_outcome"&amp;$C87&amp;".csv]nfl_predict_outcome"&amp;$C87&amp;"'!A2"),$B87,J$1)</f>
        <v>-1.5</v>
      </c>
      <c r="K87" t="str" cm="1">
        <f t="array" aca="1" ref="K87" ca="1">OFFSET(INDIRECT("'G:\My Drive\nfl-model-site\data\[nfl_predict_outcome"&amp;$C87&amp;".csv]nfl_predict_outcome"&amp;$C87&amp;"'!A2"),$B87,K$1)</f>
        <v>with</v>
      </c>
      <c r="L87" cm="1">
        <f t="array" aca="1" ref="L87" ca="1">OFFSET(INDIRECT("'G:\My Drive\nfl-model-site\data\[nfl_predict_outcome"&amp;$C87&amp;".csv]nfl_predict_outcome"&amp;$C87&amp;"'!A2"),$B87,L$1)</f>
        <v>-2.5</v>
      </c>
      <c r="M87" cm="1">
        <f t="array" aca="1" ref="M87" ca="1">_xlfn.XLOOKUP($D87&amp;$F87&amp;$E87&amp;$G87,[1]nfl_historical_matchup_data!$B:$B&amp;[1]nfl_historical_matchup_data!$C:$C&amp;[1]nfl_historical_matchup_data!$L:$L&amp;[1]nfl_historical_matchup_data!$E:$E,[1]nfl_historical_matchup_data!$I:$I)</f>
        <v>17</v>
      </c>
      <c r="N87" cm="1">
        <f t="array" aca="1" ref="N87" ca="1">_xlfn.XLOOKUP($D87&amp;$F87&amp;$E87&amp;$G87,[1]nfl_historical_matchup_data!$B:$B&amp;[1]nfl_historical_matchup_data!$C:$C&amp;[1]nfl_historical_matchup_data!$L:$L&amp;[1]nfl_historical_matchup_data!$E:$E,[1]nfl_historical_matchup_data!$J:$J)</f>
        <v>14</v>
      </c>
      <c r="O87" t="str">
        <f t="shared" ca="1" si="31"/>
        <v>DEN</v>
      </c>
      <c r="P87" t="str">
        <f t="shared" ca="1" si="32"/>
        <v>SEA</v>
      </c>
      <c r="Q87">
        <f t="shared" ca="1" si="33"/>
        <v>19.5</v>
      </c>
      <c r="R87">
        <f t="shared" ca="1" si="34"/>
        <v>14</v>
      </c>
      <c r="S87" t="str">
        <f t="shared" ca="1" si="35"/>
        <v>Win</v>
      </c>
    </row>
    <row r="88" spans="1:19" x14ac:dyDescent="0.35">
      <c r="A88">
        <f t="shared" ca="1" si="28"/>
        <v>14</v>
      </c>
      <c r="B88">
        <f t="shared" si="29"/>
        <v>6</v>
      </c>
      <c r="C88" t="str">
        <f t="shared" si="30"/>
        <v>2026w6p0</v>
      </c>
      <c r="D88">
        <v>2026</v>
      </c>
      <c r="E88">
        <v>0</v>
      </c>
      <c r="F88">
        <v>6</v>
      </c>
      <c r="G88" t="str" cm="1">
        <f t="array" aca="1" ref="G88" ca="1">OFFSET(INDIRECT("'G:\My Drive\nfl-model-site\data\[nfl_predict_outcome"&amp;$C88&amp;".csv]nfl_predict_outcome"&amp;$C88&amp;"'!A2"),$B88,G$1)</f>
        <v>LV</v>
      </c>
      <c r="H88" t="str" cm="1">
        <f t="array" aca="1" ref="H88" ca="1">OFFSET(INDIRECT("'G:\My Drive\nfl-model-site\data\[nfl_predict_outcome"&amp;$C88&amp;".csv]nfl_predict_outcome"&amp;$C88&amp;"'!A2"),$B88,H$1)</f>
        <v>BUF</v>
      </c>
      <c r="I88" t="str" cm="1">
        <f t="array" aca="1" ref="I88" ca="1">OFFSET(INDIRECT("'G:\My Drive\nfl-model-site\data\[nfl_predict_outcome"&amp;$C88&amp;".csv]nfl_predict_outcome"&amp;$C88&amp;"'!A2"),$B88,I$1)</f>
        <v>BUF</v>
      </c>
      <c r="J88" cm="1">
        <f t="array" aca="1" ref="J88" ca="1">OFFSET(INDIRECT("'G:\My Drive\nfl-model-site\data\[nfl_predict_outcome"&amp;$C88&amp;".csv]nfl_predict_outcome"&amp;$C88&amp;"'!A2"),$B88,J$1)</f>
        <v>-4.4000000000000004</v>
      </c>
      <c r="K88" t="str" cm="1">
        <f t="array" aca="1" ref="K88" ca="1">OFFSET(INDIRECT("'G:\My Drive\nfl-model-site\data\[nfl_predict_outcome"&amp;$C88&amp;".csv]nfl_predict_outcome"&amp;$C88&amp;"'!A2"),$B88,K$1)</f>
        <v>with</v>
      </c>
      <c r="L88" cm="1">
        <f t="array" aca="1" ref="L88" ca="1">OFFSET(INDIRECT("'G:\My Drive\nfl-model-site\data\[nfl_predict_outcome"&amp;$C88&amp;".csv]nfl_predict_outcome"&amp;$C88&amp;"'!A2"),$B88,L$1)</f>
        <v>-5.3</v>
      </c>
      <c r="M88" cm="1">
        <f t="array" aca="1" ref="M88" ca="1">_xlfn.XLOOKUP($D88&amp;$F88&amp;$E88&amp;$G88,[1]nfl_historical_matchup_data!$B:$B&amp;[1]nfl_historical_matchup_data!$C:$C&amp;[1]nfl_historical_matchup_data!$L:$L&amp;[1]nfl_historical_matchup_data!$E:$E,[1]nfl_historical_matchup_data!$I:$I)</f>
        <v>30</v>
      </c>
      <c r="N88" cm="1">
        <f t="array" aca="1" ref="N88" ca="1">_xlfn.XLOOKUP($D88&amp;$F88&amp;$E88&amp;$G88,[1]nfl_historical_matchup_data!$B:$B&amp;[1]nfl_historical_matchup_data!$C:$C&amp;[1]nfl_historical_matchup_data!$L:$L&amp;[1]nfl_historical_matchup_data!$E:$E,[1]nfl_historical_matchup_data!$J:$J)</f>
        <v>33</v>
      </c>
      <c r="O88" t="str">
        <f t="shared" ca="1" si="31"/>
        <v>LV</v>
      </c>
      <c r="P88" t="str">
        <f t="shared" ca="1" si="32"/>
        <v>BUF</v>
      </c>
      <c r="Q88">
        <f t="shared" ca="1" si="33"/>
        <v>35.299999999999997</v>
      </c>
      <c r="R88">
        <f t="shared" ca="1" si="34"/>
        <v>33</v>
      </c>
      <c r="S88" t="str">
        <f t="shared" ca="1" si="35"/>
        <v>Win</v>
      </c>
    </row>
    <row r="89" spans="1:19" x14ac:dyDescent="0.35">
      <c r="A89">
        <f t="shared" ca="1" si="28"/>
        <v>14</v>
      </c>
      <c r="B89">
        <f t="shared" si="29"/>
        <v>7</v>
      </c>
      <c r="C89" t="str">
        <f t="shared" si="30"/>
        <v>2026w6p0</v>
      </c>
      <c r="D89">
        <v>2026</v>
      </c>
      <c r="E89">
        <v>0</v>
      </c>
      <c r="F89">
        <v>6</v>
      </c>
      <c r="G89" t="str" cm="1">
        <f t="array" aca="1" ref="G89" ca="1">OFFSET(INDIRECT("'G:\My Drive\nfl-model-site\data\[nfl_predict_outcome"&amp;$C89&amp;".csv]nfl_predict_outcome"&amp;$C89&amp;"'!A2"),$B89,G$1)</f>
        <v>PHI</v>
      </c>
      <c r="H89" t="str" cm="1">
        <f t="array" aca="1" ref="H89" ca="1">OFFSET(INDIRECT("'G:\My Drive\nfl-model-site\data\[nfl_predict_outcome"&amp;$C89&amp;".csv]nfl_predict_outcome"&amp;$C89&amp;"'!A2"),$B89,H$1)</f>
        <v>CAR</v>
      </c>
      <c r="I89" t="str" cm="1">
        <f t="array" aca="1" ref="I89" ca="1">OFFSET(INDIRECT("'G:\My Drive\nfl-model-site\data\[nfl_predict_outcome"&amp;$C89&amp;".csv]nfl_predict_outcome"&amp;$C89&amp;"'!A2"),$B89,I$1)</f>
        <v>CAR</v>
      </c>
      <c r="J89" cm="1">
        <f t="array" aca="1" ref="J89" ca="1">OFFSET(INDIRECT("'G:\My Drive\nfl-model-site\data\[nfl_predict_outcome"&amp;$C89&amp;".csv]nfl_predict_outcome"&amp;$C89&amp;"'!A2"),$B89,J$1)</f>
        <v>-1.5</v>
      </c>
      <c r="K89" t="str" cm="1">
        <f t="array" aca="1" ref="K89" ca="1">OFFSET(INDIRECT("'G:\My Drive\nfl-model-site\data\[nfl_predict_outcome"&amp;$C89&amp;".csv]nfl_predict_outcome"&amp;$C89&amp;"'!A2"),$B89,K$1)</f>
        <v>with</v>
      </c>
      <c r="L89" cm="1">
        <f t="array" aca="1" ref="L89" ca="1">OFFSET(INDIRECT("'G:\My Drive\nfl-model-site\data\[nfl_predict_outcome"&amp;$C89&amp;".csv]nfl_predict_outcome"&amp;$C89&amp;"'!A2"),$B89,L$1)</f>
        <v>-3</v>
      </c>
      <c r="M89" cm="1">
        <f t="array" aca="1" ref="M89" ca="1">_xlfn.XLOOKUP($D89&amp;$F89&amp;$E89&amp;$G89,[1]nfl_historical_matchup_data!$B:$B&amp;[1]nfl_historical_matchup_data!$C:$C&amp;[1]nfl_historical_matchup_data!$L:$L&amp;[1]nfl_historical_matchup_data!$E:$E,[1]nfl_historical_matchup_data!$I:$I)</f>
        <v>14</v>
      </c>
      <c r="N89" cm="1">
        <f t="array" aca="1" ref="N89" ca="1">_xlfn.XLOOKUP($D89&amp;$F89&amp;$E89&amp;$G89,[1]nfl_historical_matchup_data!$B:$B&amp;[1]nfl_historical_matchup_data!$C:$C&amp;[1]nfl_historical_matchup_data!$L:$L&amp;[1]nfl_historical_matchup_data!$E:$E,[1]nfl_historical_matchup_data!$J:$J)</f>
        <v>25</v>
      </c>
      <c r="O89" t="str">
        <f t="shared" ca="1" si="31"/>
        <v>PHI</v>
      </c>
      <c r="P89" t="str">
        <f t="shared" ca="1" si="32"/>
        <v>CAR</v>
      </c>
      <c r="Q89">
        <f t="shared" ca="1" si="33"/>
        <v>17</v>
      </c>
      <c r="R89">
        <f t="shared" ca="1" si="34"/>
        <v>25</v>
      </c>
      <c r="S89" t="str">
        <f t="shared" ca="1" si="35"/>
        <v>Lose</v>
      </c>
    </row>
    <row r="90" spans="1:19" x14ac:dyDescent="0.35">
      <c r="A90">
        <f t="shared" ca="1" si="28"/>
        <v>14</v>
      </c>
      <c r="B90">
        <f t="shared" si="29"/>
        <v>8</v>
      </c>
      <c r="C90" t="str">
        <f t="shared" si="30"/>
        <v>2026w6p0</v>
      </c>
      <c r="D90">
        <v>2026</v>
      </c>
      <c r="E90">
        <v>0</v>
      </c>
      <c r="F90">
        <v>6</v>
      </c>
      <c r="G90" t="str" cm="1">
        <f t="array" aca="1" ref="G90" ca="1">OFFSET(INDIRECT("'G:\My Drive\nfl-model-site\data\[nfl_predict_outcome"&amp;$C90&amp;".csv]nfl_predict_outcome"&amp;$C90&amp;"'!A2"),$B90,G$1)</f>
        <v>NYG</v>
      </c>
      <c r="H90" t="str" cm="1">
        <f t="array" aca="1" ref="H90" ca="1">OFFSET(INDIRECT("'G:\My Drive\nfl-model-site\data\[nfl_predict_outcome"&amp;$C90&amp;".csv]nfl_predict_outcome"&amp;$C90&amp;"'!A2"),$B90,H$1)</f>
        <v>NO</v>
      </c>
      <c r="I90" t="str" cm="1">
        <f t="array" aca="1" ref="I90" ca="1">OFFSET(INDIRECT("'G:\My Drive\nfl-model-site\data\[nfl_predict_outcome"&amp;$C90&amp;".csv]nfl_predict_outcome"&amp;$C90&amp;"'!A2"),$B90,I$1)</f>
        <v>NYG</v>
      </c>
      <c r="J90" cm="1">
        <f t="array" aca="1" ref="J90" ca="1">OFFSET(INDIRECT("'G:\My Drive\nfl-model-site\data\[nfl_predict_outcome"&amp;$C90&amp;".csv]nfl_predict_outcome"&amp;$C90&amp;"'!A2"),$B90,J$1)</f>
        <v>-2.6</v>
      </c>
      <c r="K90" t="str" cm="1">
        <f t="array" aca="1" ref="K90" ca="1">OFFSET(INDIRECT("'G:\My Drive\nfl-model-site\data\[nfl_predict_outcome"&amp;$C90&amp;".csv]nfl_predict_outcome"&amp;$C90&amp;"'!A2"),$B90,K$1)</f>
        <v>against</v>
      </c>
      <c r="L90" cm="1">
        <f t="array" aca="1" ref="L90" ca="1">OFFSET(INDIRECT("'G:\My Drive\nfl-model-site\data\[nfl_predict_outcome"&amp;$C90&amp;".csv]nfl_predict_outcome"&amp;$C90&amp;"'!A2"),$B90,L$1)</f>
        <v>1.3</v>
      </c>
      <c r="M90" cm="1">
        <f t="array" aca="1" ref="M90" ca="1">_xlfn.XLOOKUP($D90&amp;$F90&amp;$E90&amp;$G90,[1]nfl_historical_matchup_data!$B:$B&amp;[1]nfl_historical_matchup_data!$C:$C&amp;[1]nfl_historical_matchup_data!$L:$L&amp;[1]nfl_historical_matchup_data!$E:$E,[1]nfl_historical_matchup_data!$I:$I)</f>
        <v>27</v>
      </c>
      <c r="N90" cm="1">
        <f t="array" aca="1" ref="N90" ca="1">_xlfn.XLOOKUP($D90&amp;$F90&amp;$E90&amp;$G90,[1]nfl_historical_matchup_data!$B:$B&amp;[1]nfl_historical_matchup_data!$C:$C&amp;[1]nfl_historical_matchup_data!$L:$L&amp;[1]nfl_historical_matchup_data!$E:$E,[1]nfl_historical_matchup_data!$J:$J)</f>
        <v>34</v>
      </c>
      <c r="O90" t="str">
        <f t="shared" ca="1" si="31"/>
        <v>NYG</v>
      </c>
      <c r="P90" t="str">
        <f t="shared" ca="1" si="32"/>
        <v>NO</v>
      </c>
      <c r="Q90">
        <f t="shared" ca="1" si="33"/>
        <v>28.3</v>
      </c>
      <c r="R90">
        <f t="shared" ca="1" si="34"/>
        <v>34</v>
      </c>
      <c r="S90" t="str">
        <f t="shared" ca="1" si="35"/>
        <v>Lose</v>
      </c>
    </row>
    <row r="91" spans="1:19" x14ac:dyDescent="0.35">
      <c r="A91">
        <f t="shared" ca="1" si="28"/>
        <v>14</v>
      </c>
      <c r="B91">
        <f t="shared" si="29"/>
        <v>9</v>
      </c>
      <c r="C91" t="str">
        <f t="shared" si="30"/>
        <v>2026w6p0</v>
      </c>
      <c r="D91">
        <v>2026</v>
      </c>
      <c r="E91">
        <v>0</v>
      </c>
      <c r="F91">
        <v>6</v>
      </c>
      <c r="G91" t="str" cm="1">
        <f t="array" aca="1" ref="G91" ca="1">OFFSET(INDIRECT("'G:\My Drive\nfl-model-site\data\[nfl_predict_outcome"&amp;$C91&amp;".csv]nfl_predict_outcome"&amp;$C91&amp;"'!A2"),$B91,G$1)</f>
        <v>GB</v>
      </c>
      <c r="H91" t="str" cm="1">
        <f t="array" aca="1" ref="H91" ca="1">OFFSET(INDIRECT("'G:\My Drive\nfl-model-site\data\[nfl_predict_outcome"&amp;$C91&amp;".csv]nfl_predict_outcome"&amp;$C91&amp;"'!A2"),$B91,H$1)</f>
        <v>DAL</v>
      </c>
      <c r="I91" t="str" cm="1">
        <f t="array" aca="1" ref="I91" ca="1">OFFSET(INDIRECT("'G:\My Drive\nfl-model-site\data\[nfl_predict_outcome"&amp;$C91&amp;".csv]nfl_predict_outcome"&amp;$C91&amp;"'!A2"),$B91,I$1)</f>
        <v>GB</v>
      </c>
      <c r="J91" cm="1">
        <f t="array" aca="1" ref="J91" ca="1">OFFSET(INDIRECT("'G:\My Drive\nfl-model-site\data\[nfl_predict_outcome"&amp;$C91&amp;".csv]nfl_predict_outcome"&amp;$C91&amp;"'!A2"),$B91,J$1)</f>
        <v>-1.9</v>
      </c>
      <c r="K91" t="str" cm="1">
        <f t="array" aca="1" ref="K91" ca="1">OFFSET(INDIRECT("'G:\My Drive\nfl-model-site\data\[nfl_predict_outcome"&amp;$C91&amp;".csv]nfl_predict_outcome"&amp;$C91&amp;"'!A2"),$B91,K$1)</f>
        <v>against</v>
      </c>
      <c r="L91" cm="1">
        <f t="array" aca="1" ref="L91" ca="1">OFFSET(INDIRECT("'G:\My Drive\nfl-model-site\data\[nfl_predict_outcome"&amp;$C91&amp;".csv]nfl_predict_outcome"&amp;$C91&amp;"'!A2"),$B91,L$1)</f>
        <v>0.3</v>
      </c>
      <c r="M91" cm="1">
        <f t="array" aca="1" ref="M91" ca="1">_xlfn.XLOOKUP($D91&amp;$F91&amp;$E91&amp;$G91,[1]nfl_historical_matchup_data!$B:$B&amp;[1]nfl_historical_matchup_data!$C:$C&amp;[1]nfl_historical_matchup_data!$L:$L&amp;[1]nfl_historical_matchup_data!$E:$E,[1]nfl_historical_matchup_data!$I:$I)</f>
        <v>23</v>
      </c>
      <c r="N91" cm="1">
        <f t="array" aca="1" ref="N91" ca="1">_xlfn.XLOOKUP($D91&amp;$F91&amp;$E91&amp;$G91,[1]nfl_historical_matchup_data!$B:$B&amp;[1]nfl_historical_matchup_data!$C:$C&amp;[1]nfl_historical_matchup_data!$L:$L&amp;[1]nfl_historical_matchup_data!$E:$E,[1]nfl_historical_matchup_data!$J:$J)</f>
        <v>13</v>
      </c>
      <c r="O91" t="str">
        <f t="shared" ca="1" si="31"/>
        <v>GB</v>
      </c>
      <c r="P91" t="str">
        <f t="shared" ca="1" si="32"/>
        <v>DAL</v>
      </c>
      <c r="Q91">
        <f t="shared" ca="1" si="33"/>
        <v>23.3</v>
      </c>
      <c r="R91">
        <f t="shared" ca="1" si="34"/>
        <v>13</v>
      </c>
      <c r="S91" t="str">
        <f t="shared" ca="1" si="35"/>
        <v>Win</v>
      </c>
    </row>
    <row r="92" spans="1:19" x14ac:dyDescent="0.35">
      <c r="A92">
        <f t="shared" ca="1" si="28"/>
        <v>14</v>
      </c>
      <c r="B92">
        <f t="shared" si="29"/>
        <v>10</v>
      </c>
      <c r="C92" t="str">
        <f t="shared" si="30"/>
        <v>2026w6p0</v>
      </c>
      <c r="D92">
        <v>2026</v>
      </c>
      <c r="E92">
        <v>0</v>
      </c>
      <c r="F92">
        <v>6</v>
      </c>
      <c r="G92" t="str" cm="1">
        <f t="array" aca="1" ref="G92" ca="1">OFFSET(INDIRECT("'G:\My Drive\nfl-model-site\data\[nfl_predict_outcome"&amp;$C92&amp;".csv]nfl_predict_outcome"&amp;$C92&amp;"'!A2"),$B92,G$1)</f>
        <v>ATL</v>
      </c>
      <c r="H92" t="str" cm="1">
        <f t="array" aca="1" ref="H92" ca="1">OFFSET(INDIRECT("'G:\My Drive\nfl-model-site\data\[nfl_predict_outcome"&amp;$C92&amp;".csv]nfl_predict_outcome"&amp;$C92&amp;"'!A2"),$B92,H$1)</f>
        <v>CHI</v>
      </c>
      <c r="I92" t="str" cm="1">
        <f t="array" aca="1" ref="I92" ca="1">OFFSET(INDIRECT("'G:\My Drive\nfl-model-site\data\[nfl_predict_outcome"&amp;$C92&amp;".csv]nfl_predict_outcome"&amp;$C92&amp;"'!A2"),$B92,I$1)</f>
        <v>ATL</v>
      </c>
      <c r="J92" cm="1">
        <f t="array" aca="1" ref="J92" ca="1">OFFSET(INDIRECT("'G:\My Drive\nfl-model-site\data\[nfl_predict_outcome"&amp;$C92&amp;".csv]nfl_predict_outcome"&amp;$C92&amp;"'!A2"),$B92,J$1)</f>
        <v>-1.9</v>
      </c>
      <c r="K92" t="str" cm="1">
        <f t="array" aca="1" ref="K92" ca="1">OFFSET(INDIRECT("'G:\My Drive\nfl-model-site\data\[nfl_predict_outcome"&amp;$C92&amp;".csv]nfl_predict_outcome"&amp;$C92&amp;"'!A2"),$B92,K$1)</f>
        <v>against</v>
      </c>
      <c r="L92" cm="1">
        <f t="array" aca="1" ref="L92" ca="1">OFFSET(INDIRECT("'G:\My Drive\nfl-model-site\data\[nfl_predict_outcome"&amp;$C92&amp;".csv]nfl_predict_outcome"&amp;$C92&amp;"'!A2"),$B92,L$1)</f>
        <v>1.3</v>
      </c>
      <c r="M92" cm="1">
        <f t="array" aca="1" ref="M92" ca="1">_xlfn.XLOOKUP($D92&amp;$F92&amp;$E92&amp;$G92,[1]nfl_historical_matchup_data!$B:$B&amp;[1]nfl_historical_matchup_data!$C:$C&amp;[1]nfl_historical_matchup_data!$L:$L&amp;[1]nfl_historical_matchup_data!$E:$E,[1]nfl_historical_matchup_data!$I:$I)</f>
        <v>23</v>
      </c>
      <c r="N92" cm="1">
        <f t="array" aca="1" ref="N92" ca="1">_xlfn.XLOOKUP($D92&amp;$F92&amp;$E92&amp;$G92,[1]nfl_historical_matchup_data!$B:$B&amp;[1]nfl_historical_matchup_data!$C:$C&amp;[1]nfl_historical_matchup_data!$L:$L&amp;[1]nfl_historical_matchup_data!$E:$E,[1]nfl_historical_matchup_data!$J:$J)</f>
        <v>31</v>
      </c>
      <c r="O92" t="str">
        <f t="shared" ca="1" si="31"/>
        <v>ATL</v>
      </c>
      <c r="P92" t="str">
        <f t="shared" ca="1" si="32"/>
        <v>CHI</v>
      </c>
      <c r="Q92">
        <f t="shared" ca="1" si="33"/>
        <v>24.3</v>
      </c>
      <c r="R92">
        <f t="shared" ca="1" si="34"/>
        <v>31</v>
      </c>
      <c r="S92" t="str">
        <f t="shared" ca="1" si="35"/>
        <v>Lose</v>
      </c>
    </row>
    <row r="93" spans="1:19" x14ac:dyDescent="0.35">
      <c r="A93">
        <f t="shared" ca="1" si="28"/>
        <v>14</v>
      </c>
      <c r="B93">
        <f t="shared" si="29"/>
        <v>11</v>
      </c>
      <c r="C93" t="str">
        <f t="shared" si="30"/>
        <v>2026w6p0</v>
      </c>
      <c r="D93">
        <v>2026</v>
      </c>
      <c r="E93">
        <v>0</v>
      </c>
      <c r="F93">
        <v>6</v>
      </c>
      <c r="G93" t="str" cm="1">
        <f t="array" aca="1" ref="G93" ca="1">OFFSET(INDIRECT("'G:\My Drive\nfl-model-site\data\[nfl_predict_outcome"&amp;$C93&amp;".csv]nfl_predict_outcome"&amp;$C93&amp;"'!A2"),$B93,G$1)</f>
        <v>TB</v>
      </c>
      <c r="H93" t="str" cm="1">
        <f t="array" aca="1" ref="H93" ca="1">OFFSET(INDIRECT("'G:\My Drive\nfl-model-site\data\[nfl_predict_outcome"&amp;$C93&amp;".csv]nfl_predict_outcome"&amp;$C93&amp;"'!A2"),$B93,H$1)</f>
        <v>PIT</v>
      </c>
      <c r="I93" t="str" cm="1">
        <f t="array" aca="1" ref="I93" ca="1">OFFSET(INDIRECT("'G:\My Drive\nfl-model-site\data\[nfl_predict_outcome"&amp;$C93&amp;".csv]nfl_predict_outcome"&amp;$C93&amp;"'!A2"),$B93,I$1)</f>
        <v>TB</v>
      </c>
      <c r="J93" cm="1">
        <f t="array" aca="1" ref="J93" ca="1">OFFSET(INDIRECT("'G:\My Drive\nfl-model-site\data\[nfl_predict_outcome"&amp;$C93&amp;".csv]nfl_predict_outcome"&amp;$C93&amp;"'!A2"),$B93,J$1)</f>
        <v>-2</v>
      </c>
      <c r="K93" t="str" cm="1">
        <f t="array" aca="1" ref="K93" ca="1">OFFSET(INDIRECT("'G:\My Drive\nfl-model-site\data\[nfl_predict_outcome"&amp;$C93&amp;".csv]nfl_predict_outcome"&amp;$C93&amp;"'!A2"),$B93,K$1)</f>
        <v>against</v>
      </c>
      <c r="L93" cm="1">
        <f t="array" aca="1" ref="L93" ca="1">OFFSET(INDIRECT("'G:\My Drive\nfl-model-site\data\[nfl_predict_outcome"&amp;$C93&amp;".csv]nfl_predict_outcome"&amp;$C93&amp;"'!A2"),$B93,L$1)</f>
        <v>1.8</v>
      </c>
      <c r="M93" cm="1">
        <f t="array" aca="1" ref="M93" ca="1">_xlfn.XLOOKUP($D93&amp;$F93&amp;$E93&amp;$G93,[1]nfl_historical_matchup_data!$B:$B&amp;[1]nfl_historical_matchup_data!$C:$C&amp;[1]nfl_historical_matchup_data!$L:$L&amp;[1]nfl_historical_matchup_data!$E:$E,[1]nfl_historical_matchup_data!$I:$I)</f>
        <v>19</v>
      </c>
      <c r="N93" cm="1">
        <f t="array" aca="1" ref="N93" ca="1">_xlfn.XLOOKUP($D93&amp;$F93&amp;$E93&amp;$G93,[1]nfl_historical_matchup_data!$B:$B&amp;[1]nfl_historical_matchup_data!$C:$C&amp;[1]nfl_historical_matchup_data!$L:$L&amp;[1]nfl_historical_matchup_data!$E:$E,[1]nfl_historical_matchup_data!$J:$J)</f>
        <v>26</v>
      </c>
      <c r="O93" t="str">
        <f t="shared" ca="1" si="31"/>
        <v>TB</v>
      </c>
      <c r="P93" t="str">
        <f t="shared" ca="1" si="32"/>
        <v>PIT</v>
      </c>
      <c r="Q93">
        <f t="shared" ca="1" si="33"/>
        <v>20.8</v>
      </c>
      <c r="R93">
        <f t="shared" ca="1" si="34"/>
        <v>26</v>
      </c>
      <c r="S93" t="str">
        <f t="shared" ca="1" si="35"/>
        <v>Lose</v>
      </c>
    </row>
    <row r="94" spans="1:19" x14ac:dyDescent="0.35">
      <c r="A94">
        <f t="shared" ca="1" si="28"/>
        <v>14</v>
      </c>
      <c r="B94">
        <f t="shared" si="29"/>
        <v>12</v>
      </c>
      <c r="C94" t="str">
        <f t="shared" si="30"/>
        <v>2026w6p0</v>
      </c>
      <c r="D94">
        <v>2026</v>
      </c>
      <c r="E94">
        <v>0</v>
      </c>
      <c r="F94">
        <v>6</v>
      </c>
      <c r="G94" t="str" cm="1">
        <f t="array" aca="1" ref="G94" ca="1">OFFSET(INDIRECT("'G:\My Drive\nfl-model-site\data\[nfl_predict_outcome"&amp;$C94&amp;".csv]nfl_predict_outcome"&amp;$C94&amp;"'!A2"),$B94,G$1)</f>
        <v>SF</v>
      </c>
      <c r="H94" t="str" cm="1">
        <f t="array" aca="1" ref="H94" ca="1">OFFSET(INDIRECT("'G:\My Drive\nfl-model-site\data\[nfl_predict_outcome"&amp;$C94&amp;".csv]nfl_predict_outcome"&amp;$C94&amp;"'!A2"),$B94,H$1)</f>
        <v>WSH</v>
      </c>
      <c r="I94" t="str" cm="1">
        <f t="array" aca="1" ref="I94" ca="1">OFFSET(INDIRECT("'G:\My Drive\nfl-model-site\data\[nfl_predict_outcome"&amp;$C94&amp;".csv]nfl_predict_outcome"&amp;$C94&amp;"'!A2"),$B94,I$1)</f>
        <v>SF</v>
      </c>
      <c r="J94" cm="1">
        <f t="array" aca="1" ref="J94" ca="1">OFFSET(INDIRECT("'G:\My Drive\nfl-model-site\data\[nfl_predict_outcome"&amp;$C94&amp;".csv]nfl_predict_outcome"&amp;$C94&amp;"'!A2"),$B94,J$1)</f>
        <v>-9.3000000000000007</v>
      </c>
      <c r="K94" t="str" cm="1">
        <f t="array" aca="1" ref="K94" ca="1">OFFSET(INDIRECT("'G:\My Drive\nfl-model-site\data\[nfl_predict_outcome"&amp;$C94&amp;".csv]nfl_predict_outcome"&amp;$C94&amp;"'!A2"),$B94,K$1)</f>
        <v>with</v>
      </c>
      <c r="L94" cm="1">
        <f t="array" aca="1" ref="L94" ca="1">OFFSET(INDIRECT("'G:\My Drive\nfl-model-site\data\[nfl_predict_outcome"&amp;$C94&amp;".csv]nfl_predict_outcome"&amp;$C94&amp;"'!A2"),$B94,L$1)</f>
        <v>-7.5</v>
      </c>
      <c r="M94" cm="1">
        <f t="array" aca="1" ref="M94" ca="1">_xlfn.XLOOKUP($D94&amp;$F94&amp;$E94&amp;$G94,[1]nfl_historical_matchup_data!$B:$B&amp;[1]nfl_historical_matchup_data!$C:$C&amp;[1]nfl_historical_matchup_data!$L:$L&amp;[1]nfl_historical_matchup_data!$E:$E,[1]nfl_historical_matchup_data!$I:$I)</f>
        <v>23</v>
      </c>
      <c r="N94" cm="1">
        <f t="array" aca="1" ref="N94" ca="1">_xlfn.XLOOKUP($D94&amp;$F94&amp;$E94&amp;$G94,[1]nfl_historical_matchup_data!$B:$B&amp;[1]nfl_historical_matchup_data!$C:$C&amp;[1]nfl_historical_matchup_data!$L:$L&amp;[1]nfl_historical_matchup_data!$E:$E,[1]nfl_historical_matchup_data!$J:$J)</f>
        <v>17</v>
      </c>
      <c r="O94" t="str">
        <f t="shared" ca="1" si="31"/>
        <v>SF</v>
      </c>
      <c r="P94" t="str">
        <f t="shared" ca="1" si="32"/>
        <v>SF</v>
      </c>
      <c r="Q94">
        <f t="shared" ca="1" si="33"/>
        <v>23</v>
      </c>
      <c r="R94">
        <f t="shared" ca="1" si="34"/>
        <v>24.5</v>
      </c>
      <c r="S94" t="str">
        <f t="shared" ca="1" si="35"/>
        <v>Lose</v>
      </c>
    </row>
    <row r="95" spans="1:19" x14ac:dyDescent="0.35">
      <c r="A95">
        <f t="shared" ca="1" si="28"/>
        <v>14</v>
      </c>
      <c r="B95">
        <f t="shared" ref="B95" si="36">IF(C95&lt;&gt;C94,0,B94+1)</f>
        <v>13</v>
      </c>
      <c r="C95" t="str">
        <f t="shared" ref="C95" si="37">D95&amp;"w"&amp;F95&amp;"p"&amp;E95</f>
        <v>2026w6p0</v>
      </c>
      <c r="D95">
        <v>2026</v>
      </c>
      <c r="E95">
        <v>0</v>
      </c>
      <c r="F95">
        <v>6</v>
      </c>
      <c r="G95" t="str" cm="1">
        <f t="array" aca="1" ref="G95" ca="1">OFFSET(INDIRECT("'G:\My Drive\nfl-model-site\data\[nfl_predict_outcome"&amp;$C95&amp;".csv]nfl_predict_outcome"&amp;$C95&amp;"'!A2"),$B95,G$1)</f>
        <v>LAR</v>
      </c>
      <c r="H95" t="str" cm="1">
        <f t="array" aca="1" ref="H95" ca="1">OFFSET(INDIRECT("'G:\My Drive\nfl-model-site\data\[nfl_predict_outcome"&amp;$C95&amp;".csv]nfl_predict_outcome"&amp;$C95&amp;"'!A2"),$B95,H$1)</f>
        <v>ARI</v>
      </c>
      <c r="I95" t="str" cm="1">
        <f t="array" aca="1" ref="I95" ca="1">OFFSET(INDIRECT("'G:\My Drive\nfl-model-site\data\[nfl_predict_outcome"&amp;$C95&amp;".csv]nfl_predict_outcome"&amp;$C95&amp;"'!A2"),$B95,I$1)</f>
        <v>LAR</v>
      </c>
      <c r="J95" cm="1">
        <f t="array" aca="1" ref="J95" ca="1">OFFSET(INDIRECT("'G:\My Drive\nfl-model-site\data\[nfl_predict_outcome"&amp;$C95&amp;".csv]nfl_predict_outcome"&amp;$C95&amp;"'!A2"),$B95,J$1)</f>
        <v>-8.5</v>
      </c>
      <c r="K95" t="str" cm="1">
        <f t="array" aca="1" ref="K95" ca="1">OFFSET(INDIRECT("'G:\My Drive\nfl-model-site\data\[nfl_predict_outcome"&amp;$C95&amp;".csv]nfl_predict_outcome"&amp;$C95&amp;"'!A2"),$B95,K$1)</f>
        <v>with</v>
      </c>
      <c r="L95" cm="1">
        <f t="array" aca="1" ref="L95" ca="1">OFFSET(INDIRECT("'G:\My Drive\nfl-model-site\data\[nfl_predict_outcome"&amp;$C95&amp;".csv]nfl_predict_outcome"&amp;$C95&amp;"'!A2"),$B95,L$1)</f>
        <v>-12.5</v>
      </c>
      <c r="M95" cm="1">
        <f t="array" aca="1" ref="M95" ca="1">_xlfn.XLOOKUP($D95&amp;$F95&amp;$E95&amp;$G95,[1]nfl_historical_matchup_data!$B:$B&amp;[1]nfl_historical_matchup_data!$C:$C&amp;[1]nfl_historical_matchup_data!$L:$L&amp;[1]nfl_historical_matchup_data!$E:$E,[1]nfl_historical_matchup_data!$I:$I)</f>
        <v>16</v>
      </c>
      <c r="N95" cm="1">
        <f t="array" aca="1" ref="N95" ca="1">_xlfn.XLOOKUP($D95&amp;$F95&amp;$E95&amp;$G95,[1]nfl_historical_matchup_data!$B:$B&amp;[1]nfl_historical_matchup_data!$C:$C&amp;[1]nfl_historical_matchup_data!$L:$L&amp;[1]nfl_historical_matchup_data!$E:$E,[1]nfl_historical_matchup_data!$J:$J)</f>
        <v>18</v>
      </c>
      <c r="O95" t="str">
        <f t="shared" ca="1" si="31"/>
        <v>ARI</v>
      </c>
      <c r="P95" t="str">
        <f t="shared" ca="1" si="32"/>
        <v>LAR</v>
      </c>
      <c r="Q95">
        <f t="shared" ca="1" si="33"/>
        <v>16</v>
      </c>
      <c r="R95">
        <f t="shared" ca="1" si="34"/>
        <v>30.5</v>
      </c>
      <c r="S95" t="str">
        <f t="shared" ca="1" si="35"/>
        <v>Win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Hodges</dc:creator>
  <cp:lastModifiedBy>Zachary Hodges</cp:lastModifiedBy>
  <dcterms:created xsi:type="dcterms:W3CDTF">2026-10-17T01:23:04Z</dcterms:created>
  <dcterms:modified xsi:type="dcterms:W3CDTF">2026-10-22T01:26:49Z</dcterms:modified>
</cp:coreProperties>
</file>